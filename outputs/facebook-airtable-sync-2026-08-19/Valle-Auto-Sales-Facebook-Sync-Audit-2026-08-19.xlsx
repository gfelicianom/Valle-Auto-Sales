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a9415286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cbd8979fbb43ca"/>
    <x:sheet xmlns:r="http://schemas.openxmlformats.org/officeDocument/2006/relationships" name="Airtable Master" sheetId="2" r:id="R585d634f958649cc"/>
    <x:sheet xmlns:r="http://schemas.openxmlformats.org/officeDocument/2006/relationships" name="Facebook No Airtable" sheetId="3" r:id="R9e4b83da7854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&quot;$&quot;#,##0"/>
    <x:numFmt numFmtId="203" formatCode="yyyy-mm-dd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7F6000"/>
      <x:name val="Carlito"/>
    </x:font>
    <x:font>
      <x:sz val="11"/>
      <x:color rgb="FFC00000"/>
      <x:name val="Carlito"/>
    </x:font>
    <x:font>
      <x:b/>
      <x:sz val="18"/>
      <x:color rgb="FFFFFFFF"/>
      <x:name val="Aptos"/>
    </x:font>
    <x:font>
      <x:i/>
      <x:sz val="11"/>
      <x:color rgb="FF17324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b/>
      <x:sz val="11"/>
      <x:color rgb="FF7F6000"/>
      <x:name val="Aptos"/>
    </x:font>
    <x:font>
      <x:sz val="11"/>
      <x:color rgb="FFC000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</x:fills>
  <x:borders count="7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3" xfId="0" applyNumberFormat="1" applyFont="1" applyFill="1" applyBorder="1"/>
    <x:xf numFmtId="200" fontId="0" fillId="5" borderId="4" xfId="0" applyNumberFormat="1" applyFont="1" applyFill="1" applyBorder="1"/>
    <x:xf numFmtId="0" fontId="0" fillId="6" borderId="3" xfId="0" applyNumberFormat="1" applyFont="1" applyFill="1" applyBorder="1"/>
    <x:xf numFmtId="200" fontId="0" fillId="6" borderId="4" xfId="0" applyNumberFormat="1" applyFont="1" applyFill="1" applyBorder="1"/>
    <x:xf numFmtId="0" fontId="0" fillId="7" borderId="5" xfId="0" applyNumberFormat="1" applyFont="1" applyFill="1" applyBorder="1"/>
    <x:xf numFmtId="200" fontId="0" fillId="7" borderId="6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200" fontId="9" fillId="0" borderId="2" xfId="0" applyNumberFormat="1" applyFont="1" applyFill="1" applyBorder="1"/>
    <x:xf numFmtId="0" fontId="9" fillId="5" borderId="3" xfId="0" applyNumberFormat="1" applyFont="1" applyFill="1" applyBorder="1"/>
    <x:xf numFmtId="200" fontId="9" fillId="5" borderId="4" xfId="0" applyNumberFormat="1" applyFont="1" applyFill="1" applyBorder="1"/>
    <x:xf numFmtId="0" fontId="9" fillId="0" borderId="3" xfId="0" applyNumberFormat="1" applyFont="1" applyFill="1" applyBorder="1"/>
    <x:xf numFmtId="200" fontId="9" fillId="0" borderId="4" xfId="0" applyNumberFormat="1" applyFont="1" applyFill="1" applyBorder="1"/>
    <x:xf numFmtId="0" fontId="9" fillId="6" borderId="3" xfId="0" applyNumberFormat="1" applyFont="1" applyFill="1" applyBorder="1"/>
    <x:xf numFmtId="200" fontId="9" fillId="6" borderId="4" xfId="0" applyNumberFormat="1" applyFont="1" applyFill="1" applyBorder="1"/>
    <x:xf numFmtId="0" fontId="9" fillId="7" borderId="5" xfId="0" applyNumberFormat="1" applyFont="1" applyFill="1" applyBorder="1"/>
    <x:xf numFmtId="200" fontId="9" fillId="7" borderId="6" xfId="0" applyNumberFormat="1" applyFont="1" applyFill="1" applyBorder="1"/>
    <x:xf numFmtId="0" fontId="9" fillId="0" borderId="5" xfId="0" applyNumberFormat="1" applyFont="1" applyFill="1" applyBorder="1"/>
    <x:xf numFmtId="200" fontId="9" fillId="0" borderId="6" xfId="0" applyNumberFormat="1" applyFont="1" applyFill="1" applyBorder="1"/>
    <x:xf numFmtId="0" fontId="10" fillId="2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/>
    </x:xf>
    <x:xf numFmtId="202" fontId="9" fillId="0" borderId="0" xfId="0" applyNumberFormat="1" applyFont="1" applyFill="1" applyBorder="1" applyAlignment="1">
      <x:alignment vertical="top"/>
    </x:xf>
    <x:xf numFmtId="203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0" xfId="0" applyNumberFormat="1" applyFont="1" applyFill="1" applyBorder="1" applyAlignment="1">
      <x:alignment horizontal="center" wrapText="1"/>
    </x:xf>
    <x:xf numFmtId="0" fontId="13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554115c534486" /><Relationship Type="http://schemas.openxmlformats.org/officeDocument/2006/relationships/theme" Target="/xl/theme/theme1.xml" Id="R43046cd72e904f18" /><Relationship Type="http://schemas.microsoft.com/office/2022/11/relationships/FeaturePropertyBag" Target="/xl/featurePropertyBag/featurePropertyBag.xml" Id="R8b3f03874b0d4b48" /><Relationship Type="http://schemas.openxmlformats.org/officeDocument/2006/relationships/sharedStrings" Target="/xl/sharedStrings.xml" Id="R7b1ca476554c4d64" /><Relationship Type="http://schemas.openxmlformats.org/officeDocument/2006/relationships/worksheet" Target="/xl/worksheets/sheet1.xml" Id="R79cbd8979fbb43ca" /><Relationship Type="http://schemas.openxmlformats.org/officeDocument/2006/relationships/worksheet" Target="/xl/worksheets/sheet2.xml" Id="R585d634f958649cc" /><Relationship Type="http://schemas.openxmlformats.org/officeDocument/2006/relationships/worksheet" Target="/xl/worksheets/sheet3.xml" Id="R9e4b83da785442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rtableMasterAudit" displayName="AirtableMasterAudit" ref="A1:Q72" headerRowCount="1" totalsRowCount="0" totalsRowShown="0">
  <x:tableColumns count="17">
    <x:tableColumn id="1" name="ID"/>
    <x:tableColumn id="2" name="Airtable status"/>
    <x:tableColumn id="3" name="Year"/>
    <x:tableColumn id="4" name="Make"/>
    <x:tableColumn id="5" name="Model"/>
    <x:tableColumn id="6" name="Trim"/>
    <x:tableColumn id="7" name="Mileage"/>
    <x:tableColumn id="8" name="Price"/>
    <x:tableColumn id="9" name="Website"/>
    <x:tableColumn id="10" name="Website rule OK"/>
    <x:tableColumn id="11" name="Facebook match"/>
    <x:tableColumn id="12" name="FB post date"/>
    <x:tableColumn id="13" name="Facebook post URL"/>
    <x:tableColumn id="14" name="Matched Facebook caption"/>
    <x:tableColumn id="15" name="Airtable FB status"/>
    <x:tableColumn id="16" name="Airtable FB link"/>
    <x:tableColumn id="17" name="Recommended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ebookNoAirtable" displayName="FacebookNoAirtable" ref="A1:D108" headerRowCount="1" totalsRowCount="0" totalsRowShown="0">
  <x:tableColumns count="4">
    <x:tableColumn id="1" name="Facebook post date"/>
    <x:tableColumn id="2" name="Facebook vehicle caption"/>
    <x:tableColumn id="3" name="Facebook post URL"/>
    <x:tableColumn id="4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f7a1dddf21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a26bc4b14d42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4" max="4" width="34" hidden="0" customWidth="1"/>
    <x:col min="5" max="5" width="10" hidden="0" customWidth="1"/>
    <x:col min="6" max="6" width="8" hidden="0" customWidth="1"/>
    <x:col min="7" max="7" width="36" hidden="0" customWidth="1"/>
    <x:col min="8" max="8" width="10" hidden="0" customWidth="1"/>
    <x:col min="3" max="3" width="8" hidden="0" customWidth="1"/>
  </x:cols>
  <x:sheetData>
    <x:row r="1">
      <x:c r="A1" s="56" t="str">
        <x:v>Valle Auto Sales — Airtable / Website / Facebook Sync Audit</x:v>
      </x:c>
      <x:c r="B1" s="56"/>
      <x:c r="C1" s="56"/>
      <x:c r="D1" s="56"/>
      <x:c r="E1" s="56"/>
      <x:c r="F1" s="56"/>
      <x:c r="G1" s="56"/>
      <x:c r="H1" s="56"/>
    </x:row>
    <x:row r="2">
      <x:c r="A2" s="56"/>
      <x:c r="B2" s="56"/>
      <x:c r="C2" s="56"/>
      <x:c r="D2" s="56"/>
      <x:c r="E2" s="56"/>
      <x:c r="F2" s="56"/>
      <x:c r="G2" s="56"/>
      <x:c r="H2" s="56"/>
    </x:row>
    <x:row r="3" ht="15" hidden="0" customHeight="1">
      <x:c r="A3" s="57" t="str">
        <x:v>Read-only audit generated 2026-08-19. Airtable Version 2 is the master source.</x:v>
      </x:c>
      <x:c r="B3" s="57"/>
      <x:c r="C3" s="57"/>
      <x:c r="D3" s="57"/>
      <x:c r="E3" s="57"/>
      <x:c r="F3" s="57"/>
      <x:c r="G3" s="57"/>
      <x:c r="H3" s="57"/>
    </x:row>
    <x:row r="4" ht="15" hidden="0" customHeight="1">
      <x:c r="A4" s="58"/>
      <x:c r="B4" s="58"/>
      <x:c r="C4" s="58"/>
      <x:c r="D4" s="58"/>
      <x:c r="E4" s="58"/>
      <x:c r="F4" s="58"/>
      <x:c r="G4" s="58"/>
      <x:c r="H4" s="58"/>
    </x:row>
    <x:row r="5" ht="15" hidden="0" customHeight="1">
      <x:c r="A5" s="59" t="str">
        <x:v>Inventory status</x:v>
      </x:c>
      <x:c r="B5" s="59" t="str">
        <x:v>Count</x:v>
      </x:c>
      <x:c r="C5" s="58"/>
      <x:c r="D5" s="59" t="str">
        <x:v>Synchronization check</x:v>
      </x:c>
      <x:c r="E5" s="59" t="str">
        <x:v>Count</x:v>
      </x:c>
      <x:c r="F5" s="58"/>
      <x:c r="G5" s="59" t="str">
        <x:v>Facebook action queue</x:v>
      </x:c>
      <x:c r="H5" s="59" t="str">
        <x:v>Count</x:v>
      </x:c>
    </x:row>
    <x:row r="6" ht="15" hidden="0" customHeight="1">
      <x:c r="A6" s="60" t="str">
        <x:v>All Airtable records</x:v>
      </x:c>
      <x:c r="B6" s="61" t="n">
        <x:f>COUNTA('Airtable Master'!A2:A72)</x:f>
        <x:v>71</x:v>
      </x:c>
      <x:c r="C6" s="58"/>
      <x:c r="D6" s="60" t="str">
        <x:v>Website cards</x:v>
      </x:c>
      <x:c r="E6" s="61" t="n">
        <x:f>COUNTIF('Airtable Master'!I2:I72,"Yes")</x:f>
        <x:v>53</x:v>
      </x:c>
      <x:c r="F6" s="58"/>
      <x:c r="G6" s="60" t="str">
        <x:v>Active with strong/probable match</x:v>
      </x:c>
      <x:c r="H6" s="61" t="n">
        <x:f>COUNTIFS('Airtable Master'!B2:B72,"Activo",'Airtable Master'!K2:K72,"Strong")+COUNTIFS('Airtable Master'!B2:B72,"Activo",'Airtable Master'!K2:K72,"Probable")</x:f>
        <x:v>42</x:v>
      </x:c>
    </x:row>
    <x:row r="7" ht="15" hidden="0" customHeight="1">
      <x:c r="A7" s="62" t="str">
        <x:v>Active</x:v>
      </x:c>
      <x:c r="B7" s="63" t="n">
        <x:f>COUNTIF('Airtable Master'!B2:B72,"Activo")</x:f>
        <x:v>53</x:v>
      </x:c>
      <x:c r="C7" s="58"/>
      <x:c r="D7" s="64" t="str">
        <x:v>Active missing website</x:v>
      </x:c>
      <x:c r="E7" s="65" t="n">
        <x:f>COUNTIFS('Airtable Master'!B2:B72,"Activo",'Airtable Master'!I2:I72,"No")</x:f>
        <x:v>0</x:v>
      </x:c>
      <x:c r="F7" s="58"/>
      <x:c r="G7" s="64" t="str">
        <x:v>Active requiring review</x:v>
      </x:c>
      <x:c r="H7" s="65" t="n">
        <x:f>COUNTIFS('Airtable Master'!B2:B72,"Activo",'Airtable Master'!K2:K72,"Ambiguous")</x:f>
        <x:v>3</x:v>
      </x:c>
    </x:row>
    <x:row r="8" ht="15" hidden="0" customHeight="1">
      <x:c r="A8" s="66" t="str">
        <x:v>Sold / Vendido</x:v>
      </x:c>
      <x:c r="B8" s="67" t="n">
        <x:f>COUNTIF('Airtable Master'!B2:B72,"Vendido")</x:f>
        <x:v>13</x:v>
      </x:c>
      <x:c r="C8" s="58"/>
      <x:c r="D8" s="64" t="str">
        <x:v>Website not Active</x:v>
      </x:c>
      <x:c r="E8" s="65" t="n">
        <x:f>COUNTIFS('Airtable Master'!B2:B72,"&lt;&gt;Activo",'Airtable Master'!I2:I72,"Yes")</x:f>
        <x:v>0</x:v>
      </x:c>
      <x:c r="F8" s="58"/>
      <x:c r="G8" s="64" t="str">
        <x:v>Active with no match</x:v>
      </x:c>
      <x:c r="H8" s="65" t="n">
        <x:f>COUNTIFS('Airtable Master'!B2:B72,"Activo",'Airtable Master'!K2:K72,"None")</x:f>
        <x:v>8</x:v>
      </x:c>
    </x:row>
    <x:row r="9" ht="15" hidden="0" customHeight="1">
      <x:c r="A9" s="68" t="str">
        <x:v>Draft / Borrador</x:v>
      </x:c>
      <x:c r="B9" s="69" t="n">
        <x:f>COUNTIF('Airtable Master'!B2:B72,"Borrador")</x:f>
        <x:v>5</x:v>
      </x:c>
      <x:c r="C9" s="58"/>
      <x:c r="D9" s="64" t="str">
        <x:v>Facebook posts with no Airtable match</x:v>
      </x:c>
      <x:c r="E9" s="65" t="n">
        <x:f>COUNTA('Facebook No Airtable'!A2:A108)</x:f>
        <x:v>107</x:v>
      </x:c>
      <x:c r="F9" s="58"/>
      <x:c r="G9" s="64" t="str">
        <x:v>Draft with strong Facebook match</x:v>
      </x:c>
      <x:c r="H9" s="65" t="n">
        <x:f>COUNTIFS('Airtable Master'!B2:B72,"Borrador",'Airtable Master'!K2:K72,"Strong")</x:f>
        <x:v>2</x:v>
      </x:c>
    </x:row>
    <x:row r="10" ht="15" hidden="0" customHeight="1">
      <x:c r="A10" s="58"/>
      <x:c r="B10" s="58"/>
      <x:c r="C10" s="58"/>
      <x:c r="D10" s="70" t="str">
        <x:v>Strong Sold Facebook matches</x:v>
      </x:c>
      <x:c r="E10" s="71" t="n">
        <x:f>COUNTIFS('Airtable Master'!B2:B72,"Vendido",'Airtable Master'!K2:K72,"Strong")</x:f>
        <x:v>10</x:v>
      </x:c>
      <x:c r="F10" s="58"/>
      <x:c r="G10" s="70" t="str">
        <x:v>Draft requiring review</x:v>
      </x:c>
      <x:c r="H10" s="71" t="n">
        <x:f>COUNTIFS('Airtable Master'!B2:B72,"Borrador",'Airtable Master'!K2:K72,"Ambiguous")+COUNTIFS('Airtable Master'!B2:B72,"Borrador",'Airtable Master'!K2:K72,"Probable")</x:f>
        <x:v>2</x:v>
      </x:c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72" t="str">
        <x:v>Recommended operating rules</x:v>
      </x:c>
      <x:c r="B12" s="72"/>
      <x:c r="C12" s="72"/>
      <x:c r="D12" s="72"/>
      <x:c r="E12" s="72"/>
      <x:c r="F12" s="72"/>
      <x:c r="G12" s="72"/>
      <x:c r="H12" s="72"/>
    </x:row>
    <x:row r="13" ht="48" hidden="0" customHeight="1">
      <x:c r="A13" s="73" t="str">
        <x:v>1</x:v>
      </x:c>
      <x:c r="B13" s="74" t="str">
        <x:v>Airtable status Active</x:v>
      </x:c>
      <x:c r="C13" s="74" t="str"/>
      <x:c r="D13" s="74" t="str">
        <x:v>Website: show</x:v>
      </x:c>
      <x:c r="E13" s="74" t="str"/>
      <x:c r="F13" s="74" t="str">
        <x:v>Facebook: keep or publish from caption v2</x:v>
      </x:c>
      <x:c r="G13" s="74" t="str"/>
      <x:c r="H13" s="74" t="str"/>
    </x:row>
    <x:row r="14" ht="48" hidden="0" customHeight="1">
      <x:c r="A14" s="73" t="str">
        <x:v>2</x:v>
      </x:c>
      <x:c r="B14" s="74" t="str">
        <x:v>Airtable status Sold/Vendido</x:v>
      </x:c>
      <x:c r="C14" s="74" t="str"/>
      <x:c r="D14" s="74" t="str">
        <x:v>Website: hide</x:v>
      </x:c>
      <x:c r="E14" s="74" t="str"/>
      <x:c r="F14" s="74" t="str">
        <x:v>Facebook: delete matching vehicle post</x:v>
      </x:c>
      <x:c r="G14" s="74" t="str"/>
      <x:c r="H14" s="74" t="str"/>
    </x:row>
    <x:row r="15" ht="48" hidden="0" customHeight="1">
      <x:c r="A15" s="73" t="str">
        <x:v>3</x:v>
      </x:c>
      <x:c r="B15" s="74" t="str">
        <x:v>Airtable status Draft/Borrador</x:v>
      </x:c>
      <x:c r="C15" s="74" t="str"/>
      <x:c r="D15" s="74" t="str">
        <x:v>Website: hide</x:v>
      </x:c>
      <x:c r="E15" s="74" t="str"/>
      <x:c r="F15" s="74" t="str">
        <x:v>Facebook: hide/delete until status becomes Active</x:v>
      </x:c>
      <x:c r="G15" s="74" t="str"/>
      <x:c r="H15" s="74" t="str"/>
    </x:row>
    <x:row r="16" ht="48" hidden="0" customHeight="1">
      <x:c r="A16" s="73" t="str">
        <x:v>4</x:v>
      </x:c>
      <x:c r="B16" s="74" t="str">
        <x:v>No Airtable record</x:v>
      </x:c>
      <x:c r="C16" s="74" t="str"/>
      <x:c r="D16" s="74" t="str">
        <x:v>Website: hide</x:v>
      </x:c>
      <x:c r="E16" s="74" t="str"/>
      <x:c r="F16" s="74" t="str">
        <x:v>Facebook: delete after post-level verification</x:v>
      </x:c>
      <x:c r="G16" s="74" t="str"/>
      <x:c r="H16" s="74" t="str"/>
    </x:row>
    <x:row r="17" ht="48" hidden="0" customHeight="1">
      <x:c r="A17" s="73" t="str">
        <x:v>5</x:v>
      </x:c>
      <x:c r="B17" s="74" t="str">
        <x:v>Before deletion</x:v>
      </x:c>
      <x:c r="C17" s="74" t="str"/>
      <x:c r="D17" s="74" t="str">
        <x:v>Confirm year + make + model + price/mileage</x:v>
      </x:c>
      <x:c r="E17" s="74" t="str"/>
      <x:c r="F17" s="74" t="str">
        <x:v>Record the Facebook URL in Airtable</x:v>
      </x:c>
      <x:c r="G17" s="74" t="str"/>
      <x:c r="H17" s="74" t="str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26.399999618530273" hidden="0" customHeight="1">
      <x:c r="A19" s="75" t="str">
        <x:v>Important: Airtable Facebook tracking fields are incomplete—only 3 of 71 records have a Facebook status and none has a saved Facebook post link.</x:v>
      </x:c>
      <x:c r="B19" s="75"/>
      <x:c r="C19" s="75"/>
      <x:c r="D19" s="75"/>
      <x:c r="E19" s="75"/>
      <x:c r="F19" s="75"/>
      <x:c r="G19" s="75"/>
      <x:c r="H19" s="75"/>
    </x:row>
  </x:sheetData>
  <x:mergeCells>
    <x:mergeCell ref="A1:H2"/>
    <x:mergeCell ref="A3:H3"/>
    <x:mergeCell ref="A12:H12"/>
    <x:mergeCell ref="B13:C13"/>
    <x:mergeCell ref="D13:E13"/>
    <x:mergeCell ref="F13:H13"/>
    <x:mergeCell ref="B14:C14"/>
    <x:mergeCell ref="D14:E14"/>
    <x:mergeCell ref="F14:H14"/>
    <x:mergeCell ref="B15:C15"/>
    <x:mergeCell ref="D15:E15"/>
    <x:mergeCell ref="F15:H15"/>
    <x:mergeCell ref="B16:C16"/>
    <x:mergeCell ref="D16:E16"/>
    <x:mergeCell ref="F16:H16"/>
    <x:mergeCell ref="B17:C17"/>
    <x:mergeCell ref="D17:E17"/>
    <x:mergeCell ref="F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8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8" hidden="0" customWidth="1"/>
    <x:col min="14" max="14" width="55" hidden="0" customWidth="1"/>
    <x:col min="15" max="15" width="16" hidden="0" customWidth="1"/>
    <x:col min="16" max="16" width="16" hidden="0" customWidth="1"/>
    <x:col min="17" max="17" width="38" hidden="0" customWidth="1"/>
  </x:cols>
  <x:sheetData>
    <x:row r="1">
      <x:c r="A1" s="76" t="str">
        <x:v>ID</x:v>
      </x:c>
      <x:c r="B1" s="76" t="str">
        <x:v>Airtable status</x:v>
      </x:c>
      <x:c r="C1" s="76" t="str">
        <x:v>Year</x:v>
      </x:c>
      <x:c r="D1" s="76" t="str">
        <x:v>Make</x:v>
      </x:c>
      <x:c r="E1" s="76" t="str">
        <x:v>Model</x:v>
      </x:c>
      <x:c r="F1" s="76" t="str">
        <x:v>Trim</x:v>
      </x:c>
      <x:c r="G1" s="76" t="str">
        <x:v>Mileage</x:v>
      </x:c>
      <x:c r="H1" s="76" t="str">
        <x:v>Price</x:v>
      </x:c>
      <x:c r="I1" s="76" t="str">
        <x:v>Website</x:v>
      </x:c>
      <x:c r="J1" s="76" t="str">
        <x:v>Website rule OK</x:v>
      </x:c>
      <x:c r="K1" s="76" t="str">
        <x:v>Facebook match</x:v>
      </x:c>
      <x:c r="L1" s="76" t="str">
        <x:v>FB post date</x:v>
      </x:c>
      <x:c r="M1" s="76" t="str">
        <x:v>Facebook post URL</x:v>
      </x:c>
      <x:c r="N1" s="76" t="str">
        <x:v>Matched Facebook caption</x:v>
      </x:c>
      <x:c r="O1" s="76" t="str">
        <x:v>Airtable FB status</x:v>
      </x:c>
      <x:c r="P1" s="76" t="str">
        <x:v>Airtable FB link</x:v>
      </x:c>
      <x:c r="Q1" s="76" t="str">
        <x:v>Recommended action</x:v>
      </x:c>
    </x:row>
    <x:row r="2" ht="48" customHeight="1">
      <x:c r="A2" s="77" t="str">
        <x:v>v-001</x:v>
      </x:c>
      <x:c r="B2" s="77" t="str">
        <x:v>Vendido</x:v>
      </x:c>
      <x:c r="C2" s="78" t="n">
        <x:v>2023</x:v>
      </x:c>
      <x:c r="D2" s="77" t="str">
        <x:v>Toyota</x:v>
      </x:c>
      <x:c r="E2" s="77" t="str">
        <x:v>RAV4</x:v>
      </x:c>
      <x:c r="F2" s="77" t="str">
        <x:v>Premium</x:v>
      </x:c>
      <x:c r="G2" s="79" t="n">
        <x:v>43662</x:v>
      </x:c>
      <x:c r="H2" s="80" t="n">
        <x:v>31995</x:v>
      </x:c>
      <x:c r="I2" s="77" t="str">
        <x:v>No</x:v>
      </x:c>
      <x:c r="J2" s="77" t="str">
        <x:v>Yes</x:v>
      </x:c>
      <x:c r="K2" s="77" t="str">
        <x:v>Strong</x:v>
      </x:c>
      <x:c r="L2" s="81" t="n">
        <x:v>46209</x:v>
      </x:c>
      <x:c r="M2" s="77" t="str">
        <x:v>https://www.facebook.com/content/insights/?content_id=UzpfSTEwMDA1NzM3OTg4MTE2MjoxNTE4MjMyNjczNDMyNzE0OjE1MTgyMzI2NzM0MzI3MTQ%3D&amp;entry_point=ProdashCometContentLibraryTable</x:v>
      </x:c>
      <x:c r="N2" s="82" t="str">
        <x:v>Toyota RAV4 XLE Premium 2023�✅ Sunroof�✅ Solo 43,000 millas�✅ Excelente condición�✅ Financiamiento disponible 💲 Precio: $31,995 📲 Para más información, llámanos o escríbenos al 787-233-4800.</x:v>
      </x:c>
      <x:c r="O2" s="77" t="str"/>
      <x:c r="P2" s="77" t="str"/>
      <x:c r="Q2" s="82" t="str">
        <x:v>Delete matching Facebook post</x:v>
      </x:c>
    </x:row>
    <x:row r="3" ht="48" customHeight="1">
      <x:c r="A3" s="77" t="str">
        <x:v>v-002</x:v>
      </x:c>
      <x:c r="B3" s="77" t="str">
        <x:v>Vendido</x:v>
      </x:c>
      <x:c r="C3" s="78" t="n">
        <x:v>2025</x:v>
      </x:c>
      <x:c r="D3" s="77" t="str">
        <x:v>Hyundai</x:v>
      </x:c>
      <x:c r="E3" s="77" t="str">
        <x:v>Elantra</x:v>
      </x:c>
      <x:c r="F3" s="77" t="str"/>
      <x:c r="G3" s="79" t="n">
        <x:v>8095</x:v>
      </x:c>
      <x:c r="H3" s="80" t="n">
        <x:v>18995</x:v>
      </x:c>
      <x:c r="I3" s="77" t="str">
        <x:v>No</x:v>
      </x:c>
      <x:c r="J3" s="77" t="str">
        <x:v>Yes</x:v>
      </x:c>
      <x:c r="K3" s="77" t="str">
        <x:v>Strong</x:v>
      </x:c>
      <x:c r="L3" s="81" t="n">
        <x:v>46150</x:v>
      </x:c>
      <x:c r="M3" s="77" t="str">
        <x:v>https://www.facebook.com/content/insights/?content_id=UzpfSTEwMDA1NzM3OTg4MTE2MjoxNDY1MzM2MTA1Mzg5MDM4OjE0NjUzMzYxMDUzODkwMzg%3D&amp;entry_point=ProdashCometContentLibraryTable</x:v>
      </x:c>
      <x:c r="N3" s="82" t="str">
        <x:v>🔥 Hyundai Elantra 2025 🔥 🚗 Solo 8,000 millas ✨ Diseño moderno, económico y cómodo para el diario. ✅ Excelente consumo de gasolina ✅ Tecnología avanzada y pantalla touch ✅ Interior espacioso y elegante ✅ Garantía y confiabilidad Hyundai 💲18,995 📲787-233-4800 📍¡Listo para entrega inmediata! 💥 Aprovecha esta oportunidad de estrenar casi nuevo.</x:v>
      </x:c>
      <x:c r="O3" s="77" t="str"/>
      <x:c r="P3" s="77" t="str"/>
      <x:c r="Q3" s="82" t="str">
        <x:v>Delete matching Facebook post</x:v>
      </x:c>
    </x:row>
    <x:row r="4" ht="48" customHeight="1">
      <x:c r="A4" s="77" t="str">
        <x:v>v-006</x:v>
      </x:c>
      <x:c r="B4" s="77" t="str">
        <x:v>Borrador</x:v>
      </x:c>
      <x:c r="C4" s="78" t="n">
        <x:v>2023</x:v>
      </x:c>
      <x:c r="D4" s="77" t="str">
        <x:v>Hyundai</x:v>
      </x:c>
      <x:c r="E4" s="77" t="str">
        <x:v>Palisade</x:v>
      </x:c>
      <x:c r="F4" s="77" t="str">
        <x:v>SE</x:v>
      </x:c>
      <x:c r="G4" s="79" t="n">
        <x:v>26814</x:v>
      </x:c>
      <x:c r="H4" s="80" t="n">
        <x:v>29995</x:v>
      </x:c>
      <x:c r="I4" s="77" t="str">
        <x:v>No</x:v>
      </x:c>
      <x:c r="J4" s="77" t="str">
        <x:v>Yes</x:v>
      </x:c>
      <x:c r="K4" s="77" t="str">
        <x:v>Strong</x:v>
      </x:c>
      <x:c r="L4" s="81" t="n">
        <x:v>46183</x:v>
      </x:c>
      <x:c r="M4" s="77" t="str">
        <x:v>https://www.facebook.com/content/insights/?content_id=UzpfSTEwMDA1NzM3OTg4MTE2MjoxNDk1NjA1MDM1Njk1NDc4OjE0OTU2MDUwMzU2OTU0Nzg%3D&amp;entry_point=ProdashCometContentLibraryTable</x:v>
      </x:c>
      <x:c r="N4" s="82" t="str">
        <x:v>Hyundai Palisade SE 📅 Año 2023 🛣️ 26K millas 👨‍👩‍👧‍👦 Tres filas de asientos 💲 Precio: $29,995 🏦 Financiamiento disponible ✅ Espaciosa y cómoda para toda la familia ✅ Mejores precios en un solo lugar 📲 787-223-4800 ¡Llama hoy y coordina tu prueba de manejo!</x:v>
      </x:c>
      <x:c r="O4" s="77" t="str"/>
      <x:c r="P4" s="77" t="str"/>
      <x:c r="Q4" s="82" t="str">
        <x:v>Delete existing Facebook post; re-upload only after Active</x:v>
      </x:c>
    </x:row>
    <x:row r="5" ht="48" customHeight="1">
      <x:c r="A5" s="77" t="str">
        <x:v>v-005</x:v>
      </x:c>
      <x:c r="B5" s="77" t="str">
        <x:v>Activo</x:v>
      </x:c>
      <x:c r="C5" s="78" t="n">
        <x:v>2019</x:v>
      </x:c>
      <x:c r="D5" s="77" t="str">
        <x:v>Ram</x:v>
      </x:c>
      <x:c r="E5" s="77" t="str">
        <x:v>2500</x:v>
      </x:c>
      <x:c r="F5" s="77" t="str">
        <x:v>Big Horn</x:v>
      </x:c>
      <x:c r="G5" s="79" t="n">
        <x:v>45567</x:v>
      </x:c>
      <x:c r="H5" s="80" t="n">
        <x:v>42995</x:v>
      </x:c>
      <x:c r="I5" s="77" t="str">
        <x:v>Yes</x:v>
      </x:c>
      <x:c r="J5" s="83" t="b">
        <x:v>1</x:v>
      </x:c>
      <x:c r="K5" s="77" t="str">
        <x:v>Probable</x:v>
      </x:c>
      <x:c r="L5" s="81" t="n">
        <x:v>46083</x:v>
      </x:c>
      <x:c r="M5" s="77" t="str">
        <x:v>https://www.facebook.com/content/insights/?content_id=UzpfSTEwMDA1NzM3OTg4MTE2MjoxNDA1OTc3MjQ3OTkxNTkxOjE0MDU5NzcyNDc5OTE1OTE%3D&amp;entry_point=ProdashCometContentLibraryTable</x:v>
      </x:c>
      <x:c r="N5" s="82" t="str">
        <x:v>Dodge RAM 2500 ✔️Año 2019 ✔️45k millas ✔️Diesel ✔️4*4 💲46,995 🏦FINANCIAMIENTO DISPONIBLE ✅PRECIO COMPETITIVO 📲787-233-4800 CONTAMOS CON UNA GAMA AMPLIA DE 🚘, SOMOS TU DEALER DE CONFIANZA, VISÍTANOS. 📍Aguada, dealer Valle Auto</x:v>
      </x:c>
      <x:c r="O5" s="77" t="str"/>
      <x:c r="P5" s="77" t="str"/>
      <x:c r="Q5" s="82" t="str">
        <x:v>Keep; update Airtable Facebook tracking/link</x:v>
      </x:c>
    </x:row>
    <x:row r="6" ht="48" customHeight="1">
      <x:c r="A6" s="77" t="str">
        <x:v>v-007</x:v>
      </x:c>
      <x:c r="B6" s="77" t="str">
        <x:v>Activo</x:v>
      </x:c>
      <x:c r="C6" s="78" t="n">
        <x:v>2018</x:v>
      </x:c>
      <x:c r="D6" s="77" t="str">
        <x:v>Ford</x:v>
      </x:c>
      <x:c r="E6" s="77" t="str">
        <x:v>F-150</x:v>
      </x:c>
      <x:c r="F6" s="77" t="str">
        <x:v>STX</x:v>
      </x:c>
      <x:c r="G6" s="79" t="n">
        <x:v>141741</x:v>
      </x:c>
      <x:c r="H6" s="80" t="n">
        <x:v>24995</x:v>
      </x:c>
      <x:c r="I6" s="77" t="str">
        <x:v>Yes</x:v>
      </x:c>
      <x:c r="J6" s="83" t="b">
        <x:v>1</x:v>
      </x:c>
      <x:c r="K6" s="77" t="str">
        <x:v>Strong</x:v>
      </x:c>
      <x:c r="L6" s="81" t="n">
        <x:v>46220</x:v>
      </x:c>
      <x:c r="M6" s="77" t="str">
        <x:v>https://www.facebook.com/content/insights/?content_id=UzpfSTEwMDA1NzM3OTg4MTE2MjoxNTI3Mzg2NjQ1ODUwNjUwOjE1MjczODY2NDU4NTA2NTA%3D&amp;entry_point=ProdashCometContentLibraryTable</x:v>
      </x:c>
      <x:c r="N6" s="82" t="str">
        <x:v>✨ Calidad, potencia y confianza en una sola pickup. ✨ 🛻 Ford F-150 STX 4x4 ✅Año: 2018 ✅Importada de Florida (FL) ⚙️ Motor: 2.7L EcoBoost 🛣️ 141,000 millas 💲 Precio: $24,995 Una pickup diseñada para ofrecer el desempeño, la comodidad y la durabilidad que necesitas, ya sea para el trabajo o para disfrutar de tus aventuras. Se encuentra en excelentes condiciones y lista para entrega. 📲 Contáctanos hoy mismo al 787-233-4800 para más información o para coordinar una prueba de manejo.</x:v>
      </x:c>
      <x:c r="O6" s="77" t="str"/>
      <x:c r="P6" s="77" t="str"/>
      <x:c r="Q6" s="82" t="str">
        <x:v>Keep; update Airtable Facebook tracking/link</x:v>
      </x:c>
    </x:row>
    <x:row r="7" ht="48" customHeight="1">
      <x:c r="A7" s="77" t="str">
        <x:v>v-008</x:v>
      </x:c>
      <x:c r="B7" s="77" t="str">
        <x:v>Activo</x:v>
      </x:c>
      <x:c r="C7" s="78" t="n">
        <x:v>2017</x:v>
      </x:c>
      <x:c r="D7" s="77" t="str">
        <x:v>Ford</x:v>
      </x:c>
      <x:c r="E7" s="77" t="str">
        <x:v>F-150</x:v>
      </x:c>
      <x:c r="F7" s="77" t="str">
        <x:v>Cabina 1/2 Off-Road</x:v>
      </x:c>
      <x:c r="G7" s="79" t="n">
        <x:v>148922</x:v>
      </x:c>
      <x:c r="H7" s="80" t="n">
        <x:v>19995</x:v>
      </x:c>
      <x:c r="I7" s="77" t="str">
        <x:v>Yes</x:v>
      </x:c>
      <x:c r="J7" s="83" t="b">
        <x:v>1</x:v>
      </x:c>
      <x:c r="K7" s="77" t="str">
        <x:v>Strong</x:v>
      </x:c>
      <x:c r="L7" s="81" t="n">
        <x:v>46220</x:v>
      </x:c>
      <x:c r="M7" s="77" t="str">
        <x:v>https://www.facebook.com/content/insights/?content_id=UzpfSTEwMDA1NzM3OTg4MTE2MjoxNTI3NDM5MTU5MTc4NzMyOjE1Mjc0MzkxNTkxNzg3MzI%3D&amp;entry_point=ProdashCometContentLibraryTable</x:v>
      </x:c>
      <x:c r="N7" s="82" t="str">
        <x:v>🚨 ¡Lista para trabajar! 🚨 🛻 Ford F-150 Off-Road Cabina y Media ✅Año: 2017 ⚙️ Motor: 3.5L 🛣️ 148,000 millas 💲 Precio: $19,995 ✅ Excelente condición ✅ Lista para entrega 📲 787-233-4800 ¡No dejes pasar esta oportunidad de llevarte una pickup fuerte, confiable y lista para cualquier aventura!</x:v>
      </x:c>
      <x:c r="O7" s="77" t="str"/>
      <x:c r="P7" s="77" t="str"/>
      <x:c r="Q7" s="82" t="str">
        <x:v>Keep; update Airtable Facebook tracking/link</x:v>
      </x:c>
    </x:row>
    <x:row r="8" ht="48" customHeight="1">
      <x:c r="A8" s="77" t="str">
        <x:v>v-009</x:v>
      </x:c>
      <x:c r="B8" s="77" t="str">
        <x:v>Activo</x:v>
      </x:c>
      <x:c r="C8" s="78" t="n">
        <x:v>2022</x:v>
      </x:c>
      <x:c r="D8" s="77" t="str">
        <x:v>Toyota</x:v>
      </x:c>
      <x:c r="E8" s="77" t="str">
        <x:v>4Runner</x:v>
      </x:c>
      <x:c r="F8" s="77" t="str">
        <x:v>SR5</x:v>
      </x:c>
      <x:c r="G8" s="79" t="n">
        <x:v>56027</x:v>
      </x:c>
      <x:c r="H8" s="80" t="n">
        <x:v>33995</x:v>
      </x:c>
      <x:c r="I8" s="77" t="str">
        <x:v>Yes</x:v>
      </x:c>
      <x:c r="J8" s="83" t="b">
        <x:v>1</x:v>
      </x:c>
      <x:c r="K8" s="77" t="str">
        <x:v>Strong</x:v>
      </x:c>
      <x:c r="L8" s="81" t="n">
        <x:v>46220</x:v>
      </x:c>
      <x:c r="M8" s="77" t="str">
        <x:v>https://www.facebook.com/content/insights/?content_id=UzpfSTEwMDA1NzM3OTg4MTE2MjoxNTI3NTg1MzkyNDk3NDQyOjE1Mjc1ODUzOTI0OTc0NDI%3D&amp;entry_point=ProdashCometContentLibraryTable</x:v>
      </x:c>
      <x:c r="N8" s="82" t="str">
        <x:v>🚙 Toyota 4Runner SR5 2022 – ¡Lista para tu próxima aventura! ✅ Año 2022 ✅ 56,000 millas ✅ Excelente condición ✅ Financiamiento disponible 💲 Precio: $33,995 📲 787-233-4800 ¡No dejes pasar esta oportunidad de llevarte una Toyota 4Runner SR5 con la calidad, durabilidad y desempeño que buscas! Contáctanos hoy mismo para más información o para coordinar tu prueba de manejo.</x:v>
      </x:c>
      <x:c r="O8" s="77" t="str"/>
      <x:c r="P8" s="77" t="str"/>
      <x:c r="Q8" s="82" t="str">
        <x:v>Keep; update Airtable Facebook tracking/link</x:v>
      </x:c>
    </x:row>
    <x:row r="9" ht="48" customHeight="1">
      <x:c r="A9" s="77" t="str">
        <x:v>v-010</x:v>
      </x:c>
      <x:c r="B9" s="77" t="str">
        <x:v>Vendido</x:v>
      </x:c>
      <x:c r="C9" s="78" t="n">
        <x:v>2021</x:v>
      </x:c>
      <x:c r="D9" s="77" t="str">
        <x:v>Toyota</x:v>
      </x:c>
      <x:c r="E9" s="77" t="str">
        <x:v>C-HR</x:v>
      </x:c>
      <x:c r="F9" s="77" t="str"/>
      <x:c r="G9" s="79" t="n">
        <x:v>31275</x:v>
      </x:c>
      <x:c r="H9" s="80" t="n">
        <x:v>18995</x:v>
      </x:c>
      <x:c r="I9" s="77" t="str">
        <x:v>No</x:v>
      </x:c>
      <x:c r="J9" s="77" t="str">
        <x:v>Yes</x:v>
      </x:c>
      <x:c r="K9" s="77" t="str">
        <x:v>None</x:v>
      </x:c>
      <x:c r="L9" s="81"/>
      <x:c r="M9" s="77" t="str"/>
      <x:c r="N9" s="82" t="str"/>
      <x:c r="O9" s="77" t="str"/>
      <x:c r="P9" s="77" t="str"/>
      <x:c r="Q9" s="82" t="str">
        <x:v>No matching Facebook post found</x:v>
      </x:c>
    </x:row>
    <x:row r="10" ht="48" customHeight="1">
      <x:c r="A10" s="77" t="str">
        <x:v>v-011</x:v>
      </x:c>
      <x:c r="B10" s="77" t="str">
        <x:v>Activo</x:v>
      </x:c>
      <x:c r="C10" s="78" t="n">
        <x:v>2024</x:v>
      </x:c>
      <x:c r="D10" s="77" t="str">
        <x:v>Mitsubishi</x:v>
      </x:c>
      <x:c r="E10" s="77" t="str">
        <x:v>Outlander</x:v>
      </x:c>
      <x:c r="F10" s="77" t="str">
        <x:v>Sport</x:v>
      </x:c>
      <x:c r="G10" s="79" t="n">
        <x:v>10678</x:v>
      </x:c>
      <x:c r="H10" s="80" t="n">
        <x:v>19995</x:v>
      </x:c>
      <x:c r="I10" s="77" t="str">
        <x:v>Yes</x:v>
      </x:c>
      <x:c r="J10" s="83" t="b">
        <x:v>1</x:v>
      </x:c>
      <x:c r="K10" s="77" t="str">
        <x:v>Strong</x:v>
      </x:c>
      <x:c r="L10" s="81" t="n">
        <x:v>46213</x:v>
      </x:c>
      <x:c r="M10" s="77" t="str">
        <x:v>https://www.facebook.com/content/insights/?content_id=UzpfSTEwMDA1NzM3OTg4MTE2MjoxNTIxODcyODU5NzM1MzYyOjE1MjE4NzI4NTk3MzUzNjI%3D&amp;entry_point=ProdashCometContentLibraryTable</x:v>
      </x:c>
      <x:c r="N10" s="82" t="str">
        <x:v>Mitsubishi Outlander Sport 2024�✅4WD ✅ Solo 10,000 millas�💲 Precio: $19,995�💳 ¡Financiamiento disponible! ¡No dejes pasar esta excelente oportunidad de estrenar una SUV moderna, económica y en excelentes condiciones! 📲 Llámanos o escríbenos al 787-233-4800 para más información o para coordinar tu prueba de manejo.</x:v>
      </x:c>
      <x:c r="O10" s="77" t="str"/>
      <x:c r="P10" s="77" t="str"/>
      <x:c r="Q10" s="82" t="str">
        <x:v>Keep; update Airtable Facebook tracking/link</x:v>
      </x:c>
    </x:row>
    <x:row r="11" ht="48" customHeight="1">
      <x:c r="A11" s="77" t="str">
        <x:v>v-012</x:v>
      </x:c>
      <x:c r="B11" s="77" t="str">
        <x:v>Activo</x:v>
      </x:c>
      <x:c r="C11" s="78" t="n">
        <x:v>2024</x:v>
      </x:c>
      <x:c r="D11" s="77" t="str">
        <x:v>Nissan</x:v>
      </x:c>
      <x:c r="E11" s="77" t="str">
        <x:v>Versa</x:v>
      </x:c>
      <x:c r="F11" s="77" t="str"/>
      <x:c r="G11" s="79" t="n">
        <x:v>4601</x:v>
      </x:c>
      <x:c r="H11" s="80" t="n">
        <x:v>14995</x:v>
      </x:c>
      <x:c r="I11" s="77" t="str">
        <x:v>Yes</x:v>
      </x:c>
      <x:c r="J11" s="83" t="b">
        <x:v>1</x:v>
      </x:c>
      <x:c r="K11" s="77" t="str">
        <x:v>Strong</x:v>
      </x:c>
      <x:c r="L11" s="81" t="n">
        <x:v>46209</x:v>
      </x:c>
      <x:c r="M11" s="77" t="str">
        <x:v>https://www.facebook.com/content/insights/?content_id=UzpfSTEwMDA1NzM3OTg4MTE2MjoxNTE4MzI4MDEzNDIzMTgwOjE1MTgzMjgwMTM0MjMxODA%3D&amp;entry_point=ProdashCometContentLibraryTable</x:v>
      </x:c>
      <x:c r="N11" s="82" t="str">
        <x:v>Nissan Versa 2024� ✅ Solo 4,000 millas�✅ Excelente condición�✅ Financiamiento disponible 💲 Precio: $14,995 📲 787-233-4800 ¡No dejes pasar esta gran oportunidad! Contáctanos hoy mismo para más información o para coordinar tu prueba de manejo.</x:v>
      </x:c>
      <x:c r="O11" s="77" t="str"/>
      <x:c r="P11" s="77" t="str"/>
      <x:c r="Q11" s="82" t="str">
        <x:v>Keep; update Airtable Facebook tracking/link</x:v>
      </x:c>
    </x:row>
    <x:row r="12" ht="48" customHeight="1">
      <x:c r="A12" s="77" t="str">
        <x:v>v-013</x:v>
      </x:c>
      <x:c r="B12" s="77" t="str">
        <x:v>Activo</x:v>
      </x:c>
      <x:c r="C12" s="78" t="n">
        <x:v>2016</x:v>
      </x:c>
      <x:c r="D12" s="77" t="str">
        <x:v>Jeep</x:v>
      </x:c>
      <x:c r="E12" s="77" t="str">
        <x:v>Grand Cherokee</x:v>
      </x:c>
      <x:c r="F12" s="77" t="str">
        <x:v>Limited</x:v>
      </x:c>
      <x:c r="G12" s="79" t="n">
        <x:v>95101</x:v>
      </x:c>
      <x:c r="H12" s="80" t="n">
        <x:v>14995</x:v>
      </x:c>
      <x:c r="I12" s="77" t="str">
        <x:v>Yes</x:v>
      </x:c>
      <x:c r="J12" s="83" t="b">
        <x:v>1</x:v>
      </x:c>
      <x:c r="K12" s="77" t="str">
        <x:v>Probable</x:v>
      </x:c>
      <x:c r="L12" s="81" t="n">
        <x:v>46209</x:v>
      </x:c>
      <x:c r="M12" s="77" t="str">
        <x:v>https://www.facebook.com/content/insights/?content_id=UzpfSTEwMDA1NzM3OTg4MTE2MjoxNTE4Mjc3Njk2NzYxNTQ1OjE1MTgyNzc2OTY3NjE1NDU%3D&amp;entry_point=ProdashCometContentLibraryTable</x:v>
      </x:c>
      <x:c r="N12" s="82" t="str">
        <x:v>Jeep Grand Cherokee Limited 2016�✅95k millas�✅Sunroof� ✅Espacio, comodidad y lujo 💲 Precio: $15,995 📲 Para más información, llámanos o escríbenos al 787-233-4800.</x:v>
      </x:c>
      <x:c r="O12" s="77" t="str"/>
      <x:c r="P12" s="77" t="str"/>
      <x:c r="Q12" s="82" t="str">
        <x:v>Keep; update Airtable Facebook tracking/link</x:v>
      </x:c>
    </x:row>
    <x:row r="13" ht="48" customHeight="1">
      <x:c r="A13" s="77" t="str">
        <x:v>v-014</x:v>
      </x:c>
      <x:c r="B13" s="77" t="str">
        <x:v>Activo</x:v>
      </x:c>
      <x:c r="C13" s="78" t="n">
        <x:v>2019</x:v>
      </x:c>
      <x:c r="D13" s="77" t="str">
        <x:v>Hyundai</x:v>
      </x:c>
      <x:c r="E13" s="77" t="str">
        <x:v>Tucson</x:v>
      </x:c>
      <x:c r="F13" s="77" t="str"/>
      <x:c r="G13" s="79" t="n">
        <x:v>28027</x:v>
      </x:c>
      <x:c r="H13" s="80" t="n">
        <x:v>15995</x:v>
      </x:c>
      <x:c r="I13" s="77" t="str">
        <x:v>Yes</x:v>
      </x:c>
      <x:c r="J13" s="83" t="b">
        <x:v>1</x:v>
      </x:c>
      <x:c r="K13" s="77" t="str">
        <x:v>Probable</x:v>
      </x:c>
      <x:c r="L13" s="81" t="n">
        <x:v>46209</x:v>
      </x:c>
      <x:c r="M13" s="77" t="str">
        <x:v>https://www.facebook.com/content/insights/?content_id=UzpfSTEwMDA1NzM3OTg4MTE2MjoxNTE4MTI0OTk2Nzc2ODE1OjE1MTgxMjQ5OTY3NzY4MTU%3D&amp;entry_point=ProdashCometContentLibraryTable</x:v>
      </x:c>
      <x:c r="N13" s="82" t="str">
        <x:v>✨ ¡Disponible para entrega inmediata! ✨ Hyundai Tucson 2019 ✅ Solo 28,000 millas ✅ Excelente condición ✅ Financiamiento disponible 💲 Precio: $16,995 📲 Para más información, llámanos o escríbenos al 787-233-4800</x:v>
      </x:c>
      <x:c r="O13" s="77" t="str"/>
      <x:c r="P13" s="77" t="str"/>
      <x:c r="Q13" s="82" t="str">
        <x:v>Keep; update Airtable Facebook tracking/link</x:v>
      </x:c>
    </x:row>
    <x:row r="14" ht="48" customHeight="1">
      <x:c r="A14" s="77" t="str">
        <x:v>v-015</x:v>
      </x:c>
      <x:c r="B14" s="77" t="str">
        <x:v>Activo</x:v>
      </x:c>
      <x:c r="C14" s="78" t="n">
        <x:v>2023</x:v>
      </x:c>
      <x:c r="D14" s="77" t="str">
        <x:v>Nissan</x:v>
      </x:c>
      <x:c r="E14" s="77" t="str">
        <x:v>Versa</x:v>
      </x:c>
      <x:c r="F14" s="77" t="str"/>
      <x:c r="G14" s="79" t="n">
        <x:v>51325</x:v>
      </x:c>
      <x:c r="H14" s="80" t="n">
        <x:v>14995</x:v>
      </x:c>
      <x:c r="I14" s="77" t="str">
        <x:v>Yes</x:v>
      </x:c>
      <x:c r="J14" s="83" t="b">
        <x:v>1</x:v>
      </x:c>
      <x:c r="K14" s="77" t="str">
        <x:v>Strong</x:v>
      </x:c>
      <x:c r="L14" s="81" t="n">
        <x:v>46222</x:v>
      </x:c>
      <x:c r="M14" s="77" t="str">
        <x:v>https://www.facebook.com/content/insights/?content_id=UzpfSTEwMDA1NzM3OTg4MTE2MjoxNTI5MTc1MDQ1NjcxODEwOjE1MjkxNzUwNDU2NzE4MTA%3D&amp;entry_point=ProdashCometContentLibraryTable</x:v>
      </x:c>
      <x:c r="N14" s="82" t="str">
        <x:v>Nissan Versa 2023 ✅ Solo 51,000 millas ✅ Excelente condición ✅ Económico, cómodo y confiable ✅ Financiamiento disponible 💲 Precio: $14,995 📲 Contáctanos al 787-233-4800 para más información o para coordinar una prueba de manejo. ¡No dejes pasar esta gran oportunidad de estrenar un Nissan Versa 2023 a un excelente precio!</x:v>
      </x:c>
      <x:c r="O14" s="77" t="str"/>
      <x:c r="P14" s="77" t="str"/>
      <x:c r="Q14" s="82" t="str">
        <x:v>Keep; update Airtable Facebook tracking/link</x:v>
      </x:c>
    </x:row>
    <x:row r="15" ht="48" customHeight="1">
      <x:c r="A15" s="77" t="str">
        <x:v>v-016</x:v>
      </x:c>
      <x:c r="B15" s="77" t="str">
        <x:v>Vendido</x:v>
      </x:c>
      <x:c r="C15" s="78" t="n">
        <x:v>2023</x:v>
      </x:c>
      <x:c r="D15" s="77" t="str">
        <x:v>Mitsubishi</x:v>
      </x:c>
      <x:c r="E15" s="77" t="str">
        <x:v>Outlander Sport</x:v>
      </x:c>
      <x:c r="F15" s="77" t="str"/>
      <x:c r="G15" s="79" t="n">
        <x:v>28423</x:v>
      </x:c>
      <x:c r="H15" s="80" t="n">
        <x:v>17995</x:v>
      </x:c>
      <x:c r="I15" s="77" t="str">
        <x:v>No</x:v>
      </x:c>
      <x:c r="J15" s="77" t="str">
        <x:v>Yes</x:v>
      </x:c>
      <x:c r="K15" s="77" t="str">
        <x:v>Strong</x:v>
      </x:c>
      <x:c r="L15" s="81" t="n">
        <x:v>46072</x:v>
      </x:c>
      <x:c r="M15" s="77" t="str">
        <x:v>https://www.facebook.com/content/insights/?content_id=UzpfSTEwMDA1NzM3OTg4MTE2MjoxMzk2MTg4MjE1NjM3MTYxOjEzOTYxODgyMTU2MzcxNjE%3D&amp;entry_point=ProdashCometContentLibraryTable</x:v>
      </x:c>
      <x:c r="N15" s="82" t="str">
        <x:v>📢 Anuncio Mitsubishi Outlander Sport 2023 — SUV Compacto ✔️27k millas 📍 Ubicación: Aguada 💰 Precio: $17,995 🏦Financiamiento Disponible 📲787-233-4800￼</x:v>
      </x:c>
      <x:c r="O15" s="77" t="str"/>
      <x:c r="P15" s="77" t="str"/>
      <x:c r="Q15" s="82" t="str">
        <x:v>Delete matching Facebook post</x:v>
      </x:c>
    </x:row>
    <x:row r="16" ht="48" customHeight="1">
      <x:c r="A16" s="77" t="str">
        <x:v>v-017</x:v>
      </x:c>
      <x:c r="B16" s="77" t="str">
        <x:v>Vendido</x:v>
      </x:c>
      <x:c r="C16" s="78" t="n">
        <x:v>2021</x:v>
      </x:c>
      <x:c r="D16" s="77" t="str">
        <x:v>Hyundai</x:v>
      </x:c>
      <x:c r="E16" s="77" t="str">
        <x:v>Venue</x:v>
      </x:c>
      <x:c r="F16" s="77" t="str"/>
      <x:c r="G16" s="79" t="n">
        <x:v>67505</x:v>
      </x:c>
      <x:c r="H16" s="80" t="n">
        <x:v>13995</x:v>
      </x:c>
      <x:c r="I16" s="77" t="str">
        <x:v>No</x:v>
      </x:c>
      <x:c r="J16" s="77" t="str">
        <x:v>Yes</x:v>
      </x:c>
      <x:c r="K16" s="77" t="str">
        <x:v>Strong</x:v>
      </x:c>
      <x:c r="L16" s="81" t="n">
        <x:v>46222</x:v>
      </x:c>
      <x:c r="M16" s="77" t="str">
        <x:v>https://www.facebook.com/content/insights/?content_id=UzpfSTEwMDA1NzM3OTg4MTE2MjoxNTI5MTY5MjU1NjcyMzg5OjE1MjkxNjkyNTU2NzIzODk%3D&amp;entry_point=ProdashCometContentLibraryTable</x:v>
      </x:c>
      <x:c r="N16" s="82" t="str">
        <x:v>Hyundai Venue 2021 ✅ 67,000 millas ✅ Excelente condición ✅ Financiamiento disponible 💲 Precio: $13,995 📲 Para más información o para coordinar una prueba de manejo, llámanos o escríbenos al 787-233-4800. ¡No dejes pasar la oportunidad de llevarte un SUV moderno, económico y confiable al mejor precio!</x:v>
      </x:c>
      <x:c r="O16" s="77" t="str"/>
      <x:c r="P16" s="77" t="str"/>
      <x:c r="Q16" s="82" t="str">
        <x:v>Delete matching Facebook post</x:v>
      </x:c>
    </x:row>
    <x:row r="17" ht="48" customHeight="1">
      <x:c r="A17" s="77" t="str">
        <x:v>v-018</x:v>
      </x:c>
      <x:c r="B17" s="77" t="str">
        <x:v>Activo</x:v>
      </x:c>
      <x:c r="C17" s="78" t="n">
        <x:v>2022</x:v>
      </x:c>
      <x:c r="D17" s="77" t="str">
        <x:v>Hyundai</x:v>
      </x:c>
      <x:c r="E17" s="77" t="str">
        <x:v>Accent</x:v>
      </x:c>
      <x:c r="F17" s="77" t="str"/>
      <x:c r="G17" s="79" t="n">
        <x:v>34835</x:v>
      </x:c>
      <x:c r="H17" s="80" t="n">
        <x:v>11995</x:v>
      </x:c>
      <x:c r="I17" s="77" t="str">
        <x:v>Yes</x:v>
      </x:c>
      <x:c r="J17" s="83" t="b">
        <x:v>1</x:v>
      </x:c>
      <x:c r="K17" s="77" t="str">
        <x:v>Strong</x:v>
      </x:c>
      <x:c r="L17" s="81" t="n">
        <x:v>46224</x:v>
      </x:c>
      <x:c r="M17" s="77" t="str">
        <x:v>https://www.facebook.com/content/insights/?content_id=UzpfSTEwMDA1NzM3OTg4MTE2MjoxNTMwODg5NTU4ODMzNjkyOjE1MzA4ODk1NTg4MzM2OTI%3D&amp;entry_point=ProdashCometContentLibraryTable</x:v>
      </x:c>
      <x:c r="N17" s="82" t="str">
        <x:v>Hyundai Accent 2022 ✅ Solo 34,000 millas ✅ Financiamiento disponible 💲 Precio: $11,995 Un sedán económico, cómodo y excelente en consumo de combustible. ¡Listo para llevártelo hoy! 📲 787-233-4800 ¡No dejes pasar esta oportunidad! Contáctanos para más información o para coordinar tu prueba de manejo.</x:v>
      </x:c>
      <x:c r="O17" s="77" t="str"/>
      <x:c r="P17" s="77" t="str"/>
      <x:c r="Q17" s="82" t="str">
        <x:v>Keep; update Airtable Facebook tracking/link</x:v>
      </x:c>
    </x:row>
    <x:row r="18" ht="48" customHeight="1">
      <x:c r="A18" s="77" t="str">
        <x:v>v-019</x:v>
      </x:c>
      <x:c r="B18" s="77" t="str">
        <x:v>Activo</x:v>
      </x:c>
      <x:c r="C18" s="78" t="n">
        <x:v>2023</x:v>
      </x:c>
      <x:c r="D18" s="77" t="str">
        <x:v>Toyota</x:v>
      </x:c>
      <x:c r="E18" s="77" t="str">
        <x:v>Corolla</x:v>
      </x:c>
      <x:c r="F18" s="77" t="str">
        <x:v>LE</x:v>
      </x:c>
      <x:c r="G18" s="79" t="n">
        <x:v>22074</x:v>
      </x:c>
      <x:c r="H18" s="80" t="n">
        <x:v>21995</x:v>
      </x:c>
      <x:c r="I18" s="77" t="str">
        <x:v>Yes</x:v>
      </x:c>
      <x:c r="J18" s="83" t="b">
        <x:v>1</x:v>
      </x:c>
      <x:c r="K18" s="77" t="str">
        <x:v>Strong</x:v>
      </x:c>
      <x:c r="L18" s="81" t="n">
        <x:v>46204</x:v>
      </x:c>
      <x:c r="M18" s="77" t="str">
        <x:v>https://www.facebook.com/content/insights/?content_id=UzpfSTEwMDA1NzM3OTg4MTE2MjoxNTEzODQ3MzAwNTM3OTE4OjE1MTM4NDczMDA1Mzc5MTg%3D&amp;entry_point=ProdashCometContentLibraryTable</x:v>
      </x:c>
      <x:c r="N18" s="82" t="str">
        <x:v>Toyota Corolla LE 2023 ✅ Solo 22,000 millas ✅ Sunroof ✅ Excelente condición 💲 Precio: $21,995 📲 Llama o escribe al 787-233-4800 ¡Aprovecha esta oportunidad y llévate un vehículo confiable, económico y con excelente equipamiento!</x:v>
      </x:c>
      <x:c r="O18" s="77" t="str"/>
      <x:c r="P18" s="77" t="str"/>
      <x:c r="Q18" s="82" t="str">
        <x:v>Keep; update Airtable Facebook tracking/link</x:v>
      </x:c>
    </x:row>
    <x:row r="19" ht="48" customHeight="1">
      <x:c r="A19" s="77" t="str">
        <x:v>v-020</x:v>
      </x:c>
      <x:c r="B19" s="77" t="str">
        <x:v>Activo</x:v>
      </x:c>
      <x:c r="C19" s="78" t="n">
        <x:v>2021</x:v>
      </x:c>
      <x:c r="D19" s="77" t="str">
        <x:v>Nissan</x:v>
      </x:c>
      <x:c r="E19" s="77" t="str">
        <x:v>Rogue</x:v>
      </x:c>
      <x:c r="F19" s="77" t="str"/>
      <x:c r="G19" s="79" t="n">
        <x:v>53500</x:v>
      </x:c>
      <x:c r="H19" s="80" t="n">
        <x:v>18995</x:v>
      </x:c>
      <x:c r="I19" s="77" t="str">
        <x:v>Yes</x:v>
      </x:c>
      <x:c r="J19" s="83" t="b">
        <x:v>1</x:v>
      </x:c>
      <x:c r="K19" s="77" t="str">
        <x:v>Strong</x:v>
      </x:c>
      <x:c r="L19" s="81" t="n">
        <x:v>46172</x:v>
      </x:c>
      <x:c r="M19" s="77" t="str">
        <x:v>https://www.facebook.com/content/insights/?content_id=UzpfSTEwMDA1NzM3OTg4MTE2MjoxNDg1MTc0MDU2NzM4NTc2OjE0ODUxNzQwNTY3Mzg1NzY%3D&amp;entry_point=ProdashCometContentLibraryTable</x:v>
      </x:c>
      <x:c r="N19" s="82" t="str">
        <x:v>Nissan Rogue 📅 Año 2021 🛣️ 53K millas 💲 Precio: $18,995 📲 787-233-4800 ✅ Financiamiento disponible ✅ Excelente condición ✅ Los mejores precios en un solo lugar</x:v>
      </x:c>
      <x:c r="O19" s="77" t="str"/>
      <x:c r="P19" s="77" t="str"/>
      <x:c r="Q19" s="82" t="str">
        <x:v>Keep; update Airtable Facebook tracking/link</x:v>
      </x:c>
    </x:row>
    <x:row r="20" ht="48" customHeight="1">
      <x:c r="A20" s="77" t="str">
        <x:v>v-021</x:v>
      </x:c>
      <x:c r="B20" s="77" t="str">
        <x:v>Activo</x:v>
      </x:c>
      <x:c r="C20" s="78" t="n">
        <x:v>2016</x:v>
      </x:c>
      <x:c r="D20" s="77" t="str">
        <x:v>Toyota</x:v>
      </x:c>
      <x:c r="E20" s="77" t="str">
        <x:v>Highlander</x:v>
      </x:c>
      <x:c r="F20" s="77" t="str"/>
      <x:c r="G20" s="79" t="n">
        <x:v>98224</x:v>
      </x:c>
      <x:c r="H20" s="80" t="n">
        <x:v>18995</x:v>
      </x:c>
      <x:c r="I20" s="77" t="str">
        <x:v>Yes</x:v>
      </x:c>
      <x:c r="J20" s="83" t="b">
        <x:v>1</x:v>
      </x:c>
      <x:c r="K20" s="77" t="str">
        <x:v>Strong</x:v>
      </x:c>
      <x:c r="L20" s="81" t="n">
        <x:v>46230</x:v>
      </x:c>
      <x:c r="M20" s="77" t="str">
        <x:v>https://www.facebook.com/content/insights/?content_id=UzpfSTEwMDA1NzM3OTg4MTE2MjoxNTM1NjkxMDAxNjg2ODgxOjE1MzU2OTEwMDE2ODY4ODE%3D&amp;entry_point=ProdashCometContentLibraryTable</x:v>
      </x:c>
      <x:c r="N20" s="82" t="str">
        <x:v>🚙 Toyota Highlander 2016 – Espacio, comodidad y confiabilidad en un solo SUV. ✅ Año 2016 ✅ 98,000 millas ✅ Tres filas de asientos – Ideal para toda la familia 💲Precio: $18,995 📲 787-233-4800 ¡No dejes pasar esta excelente oportunidad de llevarte una Toyota Highlander lista para la carretera! Contáctanos hoy mismo para más información o para coordinar tu prueba de manejo.</x:v>
      </x:c>
      <x:c r="O20" s="77" t="str"/>
      <x:c r="P20" s="77" t="str"/>
      <x:c r="Q20" s="82" t="str">
        <x:v>Keep; update Airtable Facebook tracking/link</x:v>
      </x:c>
    </x:row>
    <x:row r="21" ht="48" customHeight="1">
      <x:c r="A21" s="77" t="str">
        <x:v>v-022</x:v>
      </x:c>
      <x:c r="B21" s="77" t="str">
        <x:v>Borrador</x:v>
      </x:c>
      <x:c r="C21" s="78" t="n">
        <x:v>2016</x:v>
      </x:c>
      <x:c r="D21" s="77" t="str">
        <x:v>Hyundai</x:v>
      </x:c>
      <x:c r="E21" s="77" t="str">
        <x:v>Tucson</x:v>
      </x:c>
      <x:c r="F21" s="77" t="str"/>
      <x:c r="G21" s="79" t="n">
        <x:v>68500</x:v>
      </x:c>
      <x:c r="H21" s="80" t="n">
        <x:v>12995</x:v>
      </x:c>
      <x:c r="I21" s="77" t="str">
        <x:v>No</x:v>
      </x:c>
      <x:c r="J21" s="77" t="str">
        <x:v>Yes</x:v>
      </x:c>
      <x:c r="K21" s="77" t="str">
        <x:v>Strong</x:v>
      </x:c>
      <x:c r="L21" s="81" t="n">
        <x:v>46087</x:v>
      </x:c>
      <x:c r="M21" s="77" t="str">
        <x:v>https://www.facebook.com/content/insights/?content_id=UzpfSTEwMDA1NzM3OTg4MTE2MjoxNDA5MTE3MDM0MzQ0Mjc5OjE0MDkxMTcwMzQzNDQyNzk%3D&amp;entry_point=ProdashCometContentLibraryTable</x:v>
      </x:c>
      <x:c r="N21" s="82" t="str">
        <x:v>Hyundai Tucson ✔️Año 2016 ✔️68k millas 💲12,995 📲787-233-4800 📍Aguada</x:v>
      </x:c>
      <x:c r="O21" s="77" t="str"/>
      <x:c r="P21" s="77" t="str"/>
      <x:c r="Q21" s="82" t="str">
        <x:v>Delete existing Facebook post; re-upload only after Active</x:v>
      </x:c>
    </x:row>
    <x:row r="22" ht="48" customHeight="1">
      <x:c r="A22" s="77" t="str">
        <x:v>v-023</x:v>
      </x:c>
      <x:c r="B22" s="77" t="str">
        <x:v>Activo</x:v>
      </x:c>
      <x:c r="C22" s="78" t="n">
        <x:v>2023</x:v>
      </x:c>
      <x:c r="D22" s="77" t="str">
        <x:v>Toyota</x:v>
      </x:c>
      <x:c r="E22" s="77" t="str">
        <x:v>RAV4 Hybrid</x:v>
      </x:c>
      <x:c r="F22" s="77" t="str">
        <x:v>SE</x:v>
      </x:c>
      <x:c r="G22" s="79" t="n">
        <x:v>24500</x:v>
      </x:c>
      <x:c r="H22" s="80" t="n">
        <x:v>31995</x:v>
      </x:c>
      <x:c r="I22" s="77" t="str">
        <x:v>Yes</x:v>
      </x:c>
      <x:c r="J22" s="83" t="b">
        <x:v>1</x:v>
      </x:c>
      <x:c r="K22" s="77" t="str">
        <x:v>Strong</x:v>
      </x:c>
      <x:c r="L22" s="81" t="n">
        <x:v>46224</x:v>
      </x:c>
      <x:c r="M22" s="77" t="str">
        <x:v>https://www.facebook.com/content/insights/?content_id=UzpfSTEwMDA1NzM3OTg4MTE2MjoxNTMwOTc0NjQ4ODI1MTgzOjE1MzA5NzQ2NDg4MjUxODM%3D&amp;entry_point=ProdashCometContentLibraryTable</x:v>
      </x:c>
      <x:c r="N22" s="82" t="str">
        <x:v>Toyota RAV4 SE Híbrida 2023 ✅Solo 24,000 millas ✅Excelente rendimiento gracias a su motor híbrido ✅ Financiamiento disponible 💲31,995 ¡Llévate una SUV moderna, eficiente y lista para la carretera! 📲 787-233-4800 ¡No dejes pasar esta excelente oportunidad!</x:v>
      </x:c>
      <x:c r="O22" s="77" t="str"/>
      <x:c r="P22" s="77" t="str"/>
      <x:c r="Q22" s="82" t="str">
        <x:v>Keep; update Airtable Facebook tracking/link</x:v>
      </x:c>
    </x:row>
    <x:row r="23" ht="48" customHeight="1">
      <x:c r="A23" s="77" t="str">
        <x:v>v-024</x:v>
      </x:c>
      <x:c r="B23" s="77" t="str">
        <x:v>Activo</x:v>
      </x:c>
      <x:c r="C23" s="78" t="n">
        <x:v>2023</x:v>
      </x:c>
      <x:c r="D23" s="77" t="str">
        <x:v>Kia</x:v>
      </x:c>
      <x:c r="E23" s="77" t="str">
        <x:v>Forte</x:v>
      </x:c>
      <x:c r="F23" s="77" t="str"/>
      <x:c r="G23" s="79" t="n">
        <x:v>18392</x:v>
      </x:c>
      <x:c r="H23" s="80" t="n">
        <x:v>18995</x:v>
      </x:c>
      <x:c r="I23" s="77" t="str">
        <x:v>Yes</x:v>
      </x:c>
      <x:c r="J23" s="83" t="b">
        <x:v>1</x:v>
      </x:c>
      <x:c r="K23" s="77" t="str">
        <x:v>Strong</x:v>
      </x:c>
      <x:c r="L23" s="81" t="n">
        <x:v>46227</x:v>
      </x:c>
      <x:c r="M23" s="77" t="str">
        <x:v>https://www.facebook.com/content/insights/?content_id=UzpfSTEwMDA1NzM3OTg4MTE2MjoxNTMzMjM2NDQxOTMyMzM3OjE1MzMyMzY0NDE5MzIzMzc%3D&amp;entry_point=ProdashCometContentLibraryTable</x:v>
      </x:c>
      <x:c r="N23" s="82" t="str">
        <x:v>¡Estrena este espectacular Kia Forte 2023! ✅ Año 2023 ✅ Solo 18,000 millas ✅ Sunroof ✅ Financiamiento disponible 💲 Precio: $18,995 No dejes pasar la oportunidad de llevarte un sedán moderno, económico y en excelentes condiciones. 📲 787-233-4800 ¡Contáctanos hoy y agenda tu prueba de manejo!</x:v>
      </x:c>
      <x:c r="O23" s="77" t="str"/>
      <x:c r="P23" s="77" t="str"/>
      <x:c r="Q23" s="82" t="str">
        <x:v>Keep; update Airtable Facebook tracking/link</x:v>
      </x:c>
    </x:row>
    <x:row r="24" ht="48" customHeight="1">
      <x:c r="A24" s="77" t="str">
        <x:v>v-025</x:v>
      </x:c>
      <x:c r="B24" s="77" t="str">
        <x:v>Activo</x:v>
      </x:c>
      <x:c r="C24" s="78" t="n">
        <x:v>2024</x:v>
      </x:c>
      <x:c r="D24" s="77" t="str">
        <x:v>Kia</x:v>
      </x:c>
      <x:c r="E24" s="77" t="str">
        <x:v>Forte</x:v>
      </x:c>
      <x:c r="F24" s="77" t="str">
        <x:v>GT</x:v>
      </x:c>
      <x:c r="G24" s="79" t="n">
        <x:v>22865</x:v>
      </x:c>
      <x:c r="H24" s="80" t="n">
        <x:v>19995</x:v>
      </x:c>
      <x:c r="I24" s="77" t="str">
        <x:v>Yes</x:v>
      </x:c>
      <x:c r="J24" s="83" t="b">
        <x:v>1</x:v>
      </x:c>
      <x:c r="K24" s="77" t="str">
        <x:v>Strong</x:v>
      </x:c>
      <x:c r="L24" s="81" t="n">
        <x:v>46185</x:v>
      </x:c>
      <x:c r="M24" s="77" t="str">
        <x:v>https://www.facebook.com/content/insights/?content_id=UzpfSTEwMDA1NzM3OTg4MTE2MjoxNDk2OTUwODIyMjI3NTY2OjE0OTY5NTA4MjIyMjc1NjY%3D&amp;entry_point=ProdashCometContentLibraryTable</x:v>
      </x:c>
      <x:c r="N24" s="82" t="str">
        <x:v>KIA Forte GT 2024 ✨ Solo 22,000 millas 💲 Precio: $19,995 🔥 Diseño deportivo 🔥 Excelente rendimiento de combustible 🔥 Equipado con tecnología moderna y gran comodidad 🏦 Financiamiento disponible 📲 787-233-4800 ✅ ¡Llévatelo hoy al mejor precio! ✅ Vehículos de calidad y las mejores ofertas en un solo lugar.</x:v>
      </x:c>
      <x:c r="O24" s="77" t="str"/>
      <x:c r="P24" s="77" t="str"/>
      <x:c r="Q24" s="82" t="str">
        <x:v>Keep; update Airtable Facebook tracking/link</x:v>
      </x:c>
    </x:row>
    <x:row r="25" ht="48" customHeight="1">
      <x:c r="A25" s="77" t="str">
        <x:v>v-026</x:v>
      </x:c>
      <x:c r="B25" s="77" t="str">
        <x:v>Activo</x:v>
      </x:c>
      <x:c r="C25" s="78" t="n">
        <x:v>2022</x:v>
      </x:c>
      <x:c r="D25" s="77" t="str">
        <x:v>Nissan</x:v>
      </x:c>
      <x:c r="E25" s="77" t="str">
        <x:v>Kicks</x:v>
      </x:c>
      <x:c r="F25" s="77" t="str"/>
      <x:c r="G25" s="79" t="n">
        <x:v>55922</x:v>
      </x:c>
      <x:c r="H25" s="80" t="n">
        <x:v>14000</x:v>
      </x:c>
      <x:c r="I25" s="77" t="str">
        <x:v>Yes</x:v>
      </x:c>
      <x:c r="J25" s="83" t="b">
        <x:v>1</x:v>
      </x:c>
      <x:c r="K25" s="77" t="str">
        <x:v>Probable</x:v>
      </x:c>
      <x:c r="L25" s="81" t="n">
        <x:v>46209</x:v>
      </x:c>
      <x:c r="M25" s="77" t="str">
        <x:v>https://www.facebook.com/content/insights/?content_id=UzpfSTEwMDA1NzM3OTg4MTE2MjoxNTE4MjEwMTEzNDM0OTcwOjE1MTgyMTAxMTM0MzQ5NzA%3D&amp;entry_point=ProdashCometContentLibraryTable</x:v>
      </x:c>
      <x:c r="N25" s="82" t="str">
        <x:v>Nissan Kicks 2022 ✅ 55,000 millas ✅ Excelente condición ✅ Financiamiento disponible 💲 Precio: $14,995 📲 Para más información, llámanos o escríbenos al 787-233-4800. ¡No pierdas la oportunidad de llevarte este moderno y económico SUV!</x:v>
      </x:c>
      <x:c r="O25" s="77" t="str"/>
      <x:c r="P25" s="77" t="str"/>
      <x:c r="Q25" s="82" t="str">
        <x:v>Keep; update Airtable Facebook tracking/link</x:v>
      </x:c>
    </x:row>
    <x:row r="26" ht="48" customHeight="1">
      <x:c r="A26" s="77" t="str">
        <x:v>v-027</x:v>
      </x:c>
      <x:c r="B26" s="77" t="str">
        <x:v>Activo</x:v>
      </x:c>
      <x:c r="C26" s="78" t="n">
        <x:v>2023</x:v>
      </x:c>
      <x:c r="D26" s="77" t="str">
        <x:v>Mazda</x:v>
      </x:c>
      <x:c r="E26" s="77" t="str">
        <x:v>3</x:v>
      </x:c>
      <x:c r="F26" s="77" t="str"/>
      <x:c r="G26" s="79" t="n">
        <x:v>18821</x:v>
      </x:c>
      <x:c r="H26" s="80" t="n">
        <x:v>18995</x:v>
      </x:c>
      <x:c r="I26" s="77" t="str">
        <x:v>Yes</x:v>
      </x:c>
      <x:c r="J26" s="83" t="b">
        <x:v>1</x:v>
      </x:c>
      <x:c r="K26" s="77" t="str">
        <x:v>Strong</x:v>
      </x:c>
      <x:c r="L26" s="81" t="n">
        <x:v>46183</x:v>
      </x:c>
      <x:c r="M26" s="77" t="str">
        <x:v>https://www.facebook.com/content/insights/?content_id=UzpfSTEwMDA1NzM3OTg4MTE2MjoxNDk1NjA5OTUyMzYxNjUzOjE0OTU2MDk5NTIzNjE2NTM%3D&amp;entry_point=ProdashCometContentLibraryTable</x:v>
      </x:c>
      <x:c r="N26" s="82" t="str">
        <x:v>Mazda 3 📅 Año 2023 🛣️ 18K millas 💲 Precio: $18,995 🏦 Financiamiento disponible ✅ Excelente economía de combustible ✅ Diseño moderno y deportivo ✅ Mejores precios en un solo lugar 📲 787-233-4800 ¡No dejes pasar esta oportunidad! 🚘✨</x:v>
      </x:c>
      <x:c r="O26" s="77" t="str"/>
      <x:c r="P26" s="77" t="str"/>
      <x:c r="Q26" s="82" t="str">
        <x:v>Keep; update Airtable Facebook tracking/link</x:v>
      </x:c>
    </x:row>
    <x:row r="27" ht="48" customHeight="1">
      <x:c r="A27" s="77" t="str">
        <x:v>v-028</x:v>
      </x:c>
      <x:c r="B27" s="77" t="str">
        <x:v>Activo</x:v>
      </x:c>
      <x:c r="C27" s="78" t="n">
        <x:v>2019</x:v>
      </x:c>
      <x:c r="D27" s="77" t="str">
        <x:v>Toyota</x:v>
      </x:c>
      <x:c r="E27" s="77" t="str">
        <x:v>Yaris</x:v>
      </x:c>
      <x:c r="F27" s="77" t="str"/>
      <x:c r="G27" s="79" t="n">
        <x:v>36310</x:v>
      </x:c>
      <x:c r="H27" s="80" t="n">
        <x:v>12995</x:v>
      </x:c>
      <x:c r="I27" s="77" t="str">
        <x:v>Yes</x:v>
      </x:c>
      <x:c r="J27" s="83" t="b">
        <x:v>1</x:v>
      </x:c>
      <x:c r="K27" s="77" t="str">
        <x:v>Strong</x:v>
      </x:c>
      <x:c r="L27" s="81" t="n">
        <x:v>46226</x:v>
      </x:c>
      <x:c r="M27" s="77" t="str">
        <x:v>https://www.facebook.com/content/insights/?content_id=UzpfSTEwMDA1NzM3OTg4MTE2MjoxNTMyMzQ0NjUyMDIxNTE2OjE1MzIzNDQ2NTIwMjE1MTY%3D&amp;entry_point=ProdashCometContentLibraryTable</x:v>
      </x:c>
      <x:c r="N27" s="82" t="str">
        <x:v>🚗 ¡Toyota Yaris 2019 disponible! ✅ Solo 36,000 millas ✅ Excelente condición ✅ Económico, confiable y perfecto para el día a día ✅ Financiamiento disponible 💲 Precio: $12,995 📲 787-223-4800 ¡Llámanos o escríbenos por WhatsApp al 787-223-4800 para más información, coordinar tu prueba de manejo y separar esta oportunidad.</x:v>
      </x:c>
      <x:c r="O27" s="77" t="str"/>
      <x:c r="P27" s="77" t="str"/>
      <x:c r="Q27" s="82" t="str">
        <x:v>Keep; update Airtable Facebook tracking/link</x:v>
      </x:c>
    </x:row>
    <x:row r="28" ht="48" customHeight="1">
      <x:c r="A28" s="77" t="str">
        <x:v>v-029</x:v>
      </x:c>
      <x:c r="B28" s="77" t="str">
        <x:v>Activo</x:v>
      </x:c>
      <x:c r="C28" s="78" t="n">
        <x:v>2023</x:v>
      </x:c>
      <x:c r="D28" s="77" t="str">
        <x:v>Hyundai</x:v>
      </x:c>
      <x:c r="E28" s="77" t="str">
        <x:v>Venue</x:v>
      </x:c>
      <x:c r="F28" s="77" t="str"/>
      <x:c r="G28" s="79" t="n">
        <x:v>39982</x:v>
      </x:c>
      <x:c r="H28" s="80" t="n">
        <x:v>15995</x:v>
      </x:c>
      <x:c r="I28" s="77" t="str">
        <x:v>Yes</x:v>
      </x:c>
      <x:c r="J28" s="83" t="b">
        <x:v>1</x:v>
      </x:c>
      <x:c r="K28" s="77" t="str">
        <x:v>Strong</x:v>
      </x:c>
      <x:c r="L28" s="81" t="n">
        <x:v>46116</x:v>
      </x:c>
      <x:c r="M28" s="77" t="str">
        <x:v>https://www.facebook.com/content/insights/?content_id=UzpfSTEwMDA1NzM3OTg4MTE2MjoxNDM0NzI3NzI1MTE2NTQzOjE0MzQ3Mjc3MjUxMTY1NDM%3D&amp;entry_point=ProdashCometContentLibraryTable</x:v>
      </x:c>
      <x:c r="N28" s="82" t="str">
        <x:v>Hyundai Venue ✔️Año 2023 ✔️39k millas, 💲15,995 🏦FINANCIAMIENTO DISPONIBLE ✅PRECIO COMPETITIVO 📲787-233-4800 CONTAMOS CON UNA GAMA AMPLIA DE 🚘, SOMOS TU DEALER DE CONFIANZA, VISÍTANOS. 📍Aguada, dealer Valle Auto</x:v>
      </x:c>
      <x:c r="O28" s="77" t="str"/>
      <x:c r="P28" s="77" t="str"/>
      <x:c r="Q28" s="82" t="str">
        <x:v>Keep; update Airtable Facebook tracking/link</x:v>
      </x:c>
    </x:row>
    <x:row r="29" ht="48" customHeight="1">
      <x:c r="A29" s="77" t="str">
        <x:v>v-031</x:v>
      </x:c>
      <x:c r="B29" s="77" t="str">
        <x:v>Vendido</x:v>
      </x:c>
      <x:c r="C29" s="78" t="n">
        <x:v>2021</x:v>
      </x:c>
      <x:c r="D29" s="77" t="str">
        <x:v>Mitsubishi</x:v>
      </x:c>
      <x:c r="E29" s="77" t="str">
        <x:v>Outlander</x:v>
      </x:c>
      <x:c r="F29" s="77" t="str">
        <x:v>ASX</x:v>
      </x:c>
      <x:c r="G29" s="79" t="n">
        <x:v>20738</x:v>
      </x:c>
      <x:c r="H29" s="80" t="n">
        <x:v>14995</x:v>
      </x:c>
      <x:c r="I29" s="77" t="str">
        <x:v>No</x:v>
      </x:c>
      <x:c r="J29" s="77" t="str">
        <x:v>Yes</x:v>
      </x:c>
      <x:c r="K29" s="77" t="str">
        <x:v>Strong</x:v>
      </x:c>
      <x:c r="L29" s="81" t="n">
        <x:v>46222</x:v>
      </x:c>
      <x:c r="M29" s="77" t="str">
        <x:v>https://www.facebook.com/content/insights/?content_id=UzpfSTEwMDA1NzM3OTg4MTE2MjoxNTI5MjM2NTk1NjY1NjU1OjE1MjkyMzY1OTU2NjU2NTU%3D&amp;entry_point=ProdashCometContentLibraryTable</x:v>
      </x:c>
      <x:c r="N29" s="82" t="str">
        <x:v>Mitsubishi Outlander Sport 2021 ✅ Solo 20,000 millas 💲 Precio: $14,995 Una SUV compacta, cómoda y confiable, ideal para el uso diario o para toda la familia. ¡Aprovecha esta excelente oportunidad! 📲 787-233-4800 ✔️Financiamiento disponible ¡Contáctanos hoy y agenda tu prueba de manejo!</x:v>
      </x:c>
      <x:c r="O29" s="77" t="str"/>
      <x:c r="P29" s="77" t="str"/>
      <x:c r="Q29" s="82" t="str">
        <x:v>Delete matching Facebook post</x:v>
      </x:c>
    </x:row>
    <x:row r="30" ht="48" customHeight="1">
      <x:c r="A30" s="77" t="str">
        <x:v>v-032</x:v>
      </x:c>
      <x:c r="B30" s="77" t="str">
        <x:v>Activo</x:v>
      </x:c>
      <x:c r="C30" s="78" t="n">
        <x:v>2021</x:v>
      </x:c>
      <x:c r="D30" s="77" t="str">
        <x:v>Mitsubishi</x:v>
      </x:c>
      <x:c r="E30" s="77" t="str">
        <x:v>Mirage</x:v>
      </x:c>
      <x:c r="F30" s="77" t="str">
        <x:v>G4</x:v>
      </x:c>
      <x:c r="G30" s="79" t="n">
        <x:v>51937</x:v>
      </x:c>
      <x:c r="H30" s="80" t="n">
        <x:v>9995</x:v>
      </x:c>
      <x:c r="I30" s="77" t="str">
        <x:v>Yes</x:v>
      </x:c>
      <x:c r="J30" s="83" t="b">
        <x:v>1</x:v>
      </x:c>
      <x:c r="K30" s="77" t="str">
        <x:v>Ambiguous</x:v>
      </x:c>
      <x:c r="L30" s="81" t="n">
        <x:v>45713</x:v>
      </x:c>
      <x:c r="M30" s="77" t="str">
        <x:v>https://www.facebook.com/content/insights/?content_id=UzpfSTEwMDA1NzM3OTg4MTE2MjoxMTEzODQ4ODYzODcxMDk5OjExMTM4NDg4NjM4NzEwOTk%3D&amp;entry_point=ProdashCometContentLibraryTable</x:v>
      </x:c>
      <x:c r="N30" s="82" t="str">
        <x:v>MITSUBISHI MIRAGE G4 ✔️Año 2021 ✔️33 K MILLAS 💲10,995 🏦FINANCIAMIENTO DISPONIBLE ✅CON O SIN EXPERIENCIA DE CRÉDITO ✅PRECIOS COMPETITIVOS 📲787-233-4800 CONTAMOS CON UNA GAMA AMPLIA DE 🚘, SOMOS TU DEALER DE CONFIANZA, VISÍTANO</x:v>
      </x:c>
      <x:c r="O30" s="77" t="str"/>
      <x:c r="P30" s="77" t="str"/>
      <x:c r="Q30" s="82" t="str">
        <x:v>Review Facebook match before any deletion</x:v>
      </x:c>
    </x:row>
    <x:row r="31" ht="48" customHeight="1">
      <x:c r="A31" s="77" t="str">
        <x:v>v-033</x:v>
      </x:c>
      <x:c r="B31" s="77" t="str">
        <x:v>Activo</x:v>
      </x:c>
      <x:c r="C31" s="78" t="n">
        <x:v>2015</x:v>
      </x:c>
      <x:c r="D31" s="77" t="str">
        <x:v>Ford</x:v>
      </x:c>
      <x:c r="E31" s="77" t="str">
        <x:v>F-150</x:v>
      </x:c>
      <x:c r="F31" s="77" t="str">
        <x:v>XLT</x:v>
      </x:c>
      <x:c r="G31" s="79" t="n">
        <x:v>137500</x:v>
      </x:c>
      <x:c r="H31" s="80" t="n">
        <x:v>19995</x:v>
      </x:c>
      <x:c r="I31" s="77" t="str">
        <x:v>Yes</x:v>
      </x:c>
      <x:c r="J31" s="83" t="b">
        <x:v>1</x:v>
      </x:c>
      <x:c r="K31" s="77" t="str">
        <x:v>Strong</x:v>
      </x:c>
      <x:c r="L31" s="81" t="n">
        <x:v>46214</x:v>
      </x:c>
      <x:c r="M31" s="77" t="str">
        <x:v>https://www.facebook.com/content/insights/?content_id=UzpfSTEwMDA1NzM3OTg4MTE2MjoxNTIyNDM0MzE2MzQ1ODgzOjE1MjI0MzQzMTYzNDU4ODM%3D&amp;entry_point=ProdashCometContentLibraryTable</x:v>
      </x:c>
      <x:c r="N31" s="82" t="str">
        <x:v>🚨 ¡Ford F-150 XLT 2015 disponible! 🚨 ✅ Año 2015 ✅ 137,000 millas ✅ Motor 3.5L ✅ Importada de Florida 💲 Precio: $19,995 💳 ¡Financiamiento disponible! No dejes pasar esta excelente oportunidad de llevarte una pickup fuerte, confiable y lista para trabajar o disfrutar. 📲 Llámanos o escríbenos al 787-233-4800 para más información o para coordinar tu prueba de manejo.</x:v>
      </x:c>
      <x:c r="O31" s="77" t="str"/>
      <x:c r="P31" s="77" t="str"/>
      <x:c r="Q31" s="82" t="str">
        <x:v>Keep; update Airtable Facebook tracking/link</x:v>
      </x:c>
    </x:row>
    <x:row r="32" ht="48" customHeight="1">
      <x:c r="A32" s="77" t="str">
        <x:v>v-034</x:v>
      </x:c>
      <x:c r="B32" s="77" t="str">
        <x:v>Activo</x:v>
      </x:c>
      <x:c r="C32" s="78" t="n">
        <x:v>2020</x:v>
      </x:c>
      <x:c r="D32" s="77" t="str">
        <x:v>Toyota</x:v>
      </x:c>
      <x:c r="E32" s="77" t="str">
        <x:v>RAV4</x:v>
      </x:c>
      <x:c r="F32" s="77" t="str">
        <x:v>XLE</x:v>
      </x:c>
      <x:c r="G32" s="79" t="n">
        <x:v>52514</x:v>
      </x:c>
      <x:c r="H32" s="80" t="n">
        <x:v>24995</x:v>
      </x:c>
      <x:c r="I32" s="77" t="str">
        <x:v>Yes</x:v>
      </x:c>
      <x:c r="J32" s="83" t="b">
        <x:v>1</x:v>
      </x:c>
      <x:c r="K32" s="77" t="str">
        <x:v>Probable</x:v>
      </x:c>
      <x:c r="L32" s="81" t="n">
        <x:v>46196</x:v>
      </x:c>
      <x:c r="M32" s="77" t="str">
        <x:v>https://www.facebook.com/content/insights/?content_id=UzpfSTEwMDA1NzM3OTg4MTE2MjoxNTA2NzcyOTI3OTEyMDIyOjE1MDY3NzI5Mjc5MTIwMjI%3D&amp;entry_point=ProdashCometContentLibraryTable</x:v>
      </x:c>
      <x:c r="N32" s="82" t="str">
        <x:v>🚙 Toyota RAV4 XLE Premium 2020 ✅ 102,000 millas�☀️ Sunroof�✅ Asientos en leather 💲 Precio: $24,995 🏦 ¡Financiamiento disponible! 📲 787-233-4800 🔥 ¡No dejes pasar esta oportunidad! Una SUV reconocida por su comodidad, confiabilidad y excelente rendimiento. ¡Los mejores precios en un solo lugar!</x:v>
      </x:c>
      <x:c r="O32" s="77" t="str"/>
      <x:c r="P32" s="77" t="str"/>
      <x:c r="Q32" s="82" t="str">
        <x:v>Keep; update Airtable Facebook tracking/link</x:v>
      </x:c>
    </x:row>
    <x:row r="33" ht="48" customHeight="1">
      <x:c r="A33" s="77" t="str">
        <x:v>v-035</x:v>
      </x:c>
      <x:c r="B33" s="77" t="str">
        <x:v>Activo</x:v>
      </x:c>
      <x:c r="C33" s="78" t="n">
        <x:v>2023</x:v>
      </x:c>
      <x:c r="D33" s="77" t="str">
        <x:v>Mitsubishi</x:v>
      </x:c>
      <x:c r="E33" s="77" t="str">
        <x:v>Eclipse</x:v>
      </x:c>
      <x:c r="F33" s="77" t="str">
        <x:v>Cross</x:v>
      </x:c>
      <x:c r="G33" s="79" t="n">
        <x:v>22715</x:v>
      </x:c>
      <x:c r="H33" s="80" t="n">
        <x:v>19495</x:v>
      </x:c>
      <x:c r="I33" s="77" t="str">
        <x:v>Yes</x:v>
      </x:c>
      <x:c r="J33" s="83" t="b">
        <x:v>1</x:v>
      </x:c>
      <x:c r="K33" s="77" t="str">
        <x:v>Strong</x:v>
      </x:c>
      <x:c r="L33" s="81" t="n">
        <x:v>46213</x:v>
      </x:c>
      <x:c r="M33" s="77" t="str">
        <x:v>https://www.facebook.com/content/insights/?content_id=UzpfSTEwMDA1NzM3OTg4MTE2MjoxNTIxNzg1Njc2NDEwNzQ3OjE1MjE3ODU2NzY0MTA3NDc%3D&amp;entry_point=ProdashCometContentLibraryTable</x:v>
      </x:c>
      <x:c r="N33" s="82" t="str">
        <x:v>Mitsubishi Eclipse Cross 2023�✅ Solo 22,000 millas�✅ Excelente condición�✅ Financiamiento disponible 💲 Precio: $19,495 📲 787-233-4800 ¡No dejes pasar esta oportunidad! Contáctanos hoy mismo y llévate tu Mitsubishi Eclipse Cross 2023 al mejor precio.</x:v>
      </x:c>
      <x:c r="O33" s="77" t="str"/>
      <x:c r="P33" s="77" t="str"/>
      <x:c r="Q33" s="82" t="str">
        <x:v>Keep; update Airtable Facebook tracking/link</x:v>
      </x:c>
    </x:row>
    <x:row r="34" ht="48" customHeight="1">
      <x:c r="A34" s="77" t="str">
        <x:v>v-036</x:v>
      </x:c>
      <x:c r="B34" s="77" t="str">
        <x:v>Activo</x:v>
      </x:c>
      <x:c r="C34" s="78" t="n">
        <x:v>2024</x:v>
      </x:c>
      <x:c r="D34" s="77" t="str">
        <x:v>Hyundai</x:v>
      </x:c>
      <x:c r="E34" s="77" t="str">
        <x:v>Santa Cruz</x:v>
      </x:c>
      <x:c r="F34" s="77" t="str"/>
      <x:c r="G34" s="79" t="n">
        <x:v>9773</x:v>
      </x:c>
      <x:c r="H34" s="80" t="n">
        <x:v>26995</x:v>
      </x:c>
      <x:c r="I34" s="77" t="str">
        <x:v>Yes</x:v>
      </x:c>
      <x:c r="J34" s="83" t="b">
        <x:v>1</x:v>
      </x:c>
      <x:c r="K34" s="77" t="str">
        <x:v>Probable</x:v>
      </x:c>
      <x:c r="L34" s="81" t="n">
        <x:v>46209</x:v>
      </x:c>
      <x:c r="M34" s="77" t="str">
        <x:v>https://www.facebook.com/content/insights/?content_id=UzpfSTEwMDA1NzM3OTg4MTE2MjoxNTE4MTM4NjEzNDQyMTIwOjE1MTgxMzg2MTM0NDIxMjA%3D&amp;entry_point=ProdashCometContentLibraryTable</x:v>
      </x:c>
      <x:c r="N34" s="82" t="str">
        <x:v>Hyundai Santa Cruz 2024�✅ Solo 9,000 millas�✅Precio: $27,995�✅Financiamiento disponible ¡Aprovecha esta excelente oportunidad de estrenar una pickup moderna, cómoda y versátil! 📲 787-233-4800 ¡Llama hoy y solicita más información!</x:v>
      </x:c>
      <x:c r="O34" s="77" t="str"/>
      <x:c r="P34" s="77" t="str"/>
      <x:c r="Q34" s="82" t="str">
        <x:v>Keep; update Airtable Facebook tracking/link</x:v>
      </x:c>
    </x:row>
    <x:row r="35" ht="48" customHeight="1">
      <x:c r="A35" s="77" t="str">
        <x:v>v-037</x:v>
      </x:c>
      <x:c r="B35" s="77" t="str">
        <x:v>Activo</x:v>
      </x:c>
      <x:c r="C35" s="78" t="n">
        <x:v>2025</x:v>
      </x:c>
      <x:c r="D35" s="77" t="str">
        <x:v>Toyota</x:v>
      </x:c>
      <x:c r="E35" s="77" t="str">
        <x:v>Corolla</x:v>
      </x:c>
      <x:c r="F35" s="77" t="str">
        <x:v>LE</x:v>
      </x:c>
      <x:c r="G35" s="79" t="n">
        <x:v>2785</x:v>
      </x:c>
      <x:c r="H35" s="80" t="n">
        <x:v>22995</x:v>
      </x:c>
      <x:c r="I35" s="77" t="str">
        <x:v>Yes</x:v>
      </x:c>
      <x:c r="J35" s="83" t="b">
        <x:v>1</x:v>
      </x:c>
      <x:c r="K35" s="77" t="str">
        <x:v>Ambiguous</x:v>
      </x:c>
      <x:c r="L35" s="81" t="n">
        <x:v>46227</x:v>
      </x:c>
      <x:c r="M35" s="77" t="str">
        <x:v>https://www.facebook.com/content/insights/?content_id=UzpfSTEwMDA1NzM3OTg4MTE2MjoxNTMzMzU0NTc1MjUzODU3OjE1MzMzNTQ1NzUyNTM4NTc%3D&amp;entry_point=ProdashCometContentLibraryTable</x:v>
      </x:c>
      <x:c r="N35" s="82" t="str">
        <x:v>¡Como nuevo y listo para estrenar! Toyota Corolla SE 2025 ✅ Solo 5,000 millas ✅ Sunroof ✅ Financiamiento disponible 💲 Precio: $26,995 Disfruta la confiabilidad de Toyota con el estilo deportivo del Corolla SE y el confort de su sunroof. 📲 Llámanos o escríbenos al 787-233-4800 para más información o para coordinar tu prueba de manejo. ¡No dejes pasar esta oportunidad!</x:v>
      </x:c>
      <x:c r="O35" s="77" t="str"/>
      <x:c r="P35" s="77" t="str"/>
      <x:c r="Q35" s="82" t="str">
        <x:v>Review Facebook match before any deletion</x:v>
      </x:c>
    </x:row>
    <x:row r="36" ht="48" customHeight="1">
      <x:c r="A36" s="77" t="str">
        <x:v>v-038</x:v>
      </x:c>
      <x:c r="B36" s="77" t="str">
        <x:v>Vendido</x:v>
      </x:c>
      <x:c r="C36" s="78" t="n">
        <x:v>2017</x:v>
      </x:c>
      <x:c r="D36" s="77" t="str">
        <x:v>Honda</x:v>
      </x:c>
      <x:c r="E36" s="77" t="str">
        <x:v>Civic</x:v>
      </x:c>
      <x:c r="F36" s="77" t="str">
        <x:v>LX</x:v>
      </x:c>
      <x:c r="G36" s="79" t="n">
        <x:v>55633</x:v>
      </x:c>
      <x:c r="H36" s="80" t="n">
        <x:v>13995</x:v>
      </x:c>
      <x:c r="I36" s="77" t="str">
        <x:v>No</x:v>
      </x:c>
      <x:c r="J36" s="77" t="str">
        <x:v>Yes</x:v>
      </x:c>
      <x:c r="K36" s="77" t="str">
        <x:v>Probable</x:v>
      </x:c>
      <x:c r="L36" s="81" t="n">
        <x:v>46224</x:v>
      </x:c>
      <x:c r="M36" s="77" t="str">
        <x:v>https://www.facebook.com/content/insights/?content_id=UzpfSTEwMDA1NzM3OTg4MTE2MjoxNTMwNTc4NTQyMTk4MTI3OjE1MzA1Nzg1NDIxOTgxMjc%3D&amp;entry_point=ProdashCometContentLibraryTable</x:v>
      </x:c>
      <x:c r="N36" s="82" t="str">
        <x:v>Honda Civic 2017 ✔️91,000 millas ✔️Financiamiento disponible 💲13,995 Un sedán confiable, económico y con el estilo que buscas. Perfecto para el día a día y listo para su próximo dueño. 📲 787-233-4800 ¡Contáctanos hoy y agenda tu prueba de manejo!</x:v>
      </x:c>
      <x:c r="O36" s="77" t="str"/>
      <x:c r="P36" s="77" t="str"/>
      <x:c r="Q36" s="82" t="str">
        <x:v>Manual review before deletion</x:v>
      </x:c>
    </x:row>
    <x:row r="37" ht="48" customHeight="1">
      <x:c r="A37" s="77" t="str">
        <x:v>v-039</x:v>
      </x:c>
      <x:c r="B37" s="77" t="str">
        <x:v>Vendido</x:v>
      </x:c>
      <x:c r="C37" s="78" t="n">
        <x:v>2023</x:v>
      </x:c>
      <x:c r="D37" s="77" t="str">
        <x:v>Toyota</x:v>
      </x:c>
      <x:c r="E37" s="77" t="str">
        <x:v>RAV4</x:v>
      </x:c>
      <x:c r="F37" s="77" t="str">
        <x:v>XLE Premium</x:v>
      </x:c>
      <x:c r="G37" s="79" t="n">
        <x:v>31403</x:v>
      </x:c>
      <x:c r="H37" s="80" t="n">
        <x:v>30995</x:v>
      </x:c>
      <x:c r="I37" s="77" t="str">
        <x:v>No</x:v>
      </x:c>
      <x:c r="J37" s="77" t="str">
        <x:v>Yes</x:v>
      </x:c>
      <x:c r="K37" s="77" t="str">
        <x:v>Strong</x:v>
      </x:c>
      <x:c r="L37" s="81" t="n">
        <x:v>46196</x:v>
      </x:c>
      <x:c r="M37" s="77" t="str">
        <x:v>https://www.facebook.com/content/insights/?content_id=UzpfSTEwMDA1NzM3OTg4MTE2MjoxNTA2NzkwNzg3OTEwMjM2OjE1MDY3OTA3ODc5MTAyMzY%3D&amp;entry_point=ProdashCometContentLibraryTable</x:v>
      </x:c>
      <x:c r="N37" s="82" t="str">
        <x:v>🚗 ¡Promoción Especial! 🚗 ✨ Toyota RAV4 XLE Premium – Año 2023 ✨ ✅ Solo 31,000 millas ✅ Sunroof ✅ Asientos en leather 💲Precio: $30,995 📲 787-233-4800 🏦 ¡Financiamiento disponible! 🔥 ¡Mejores precios en un solo lugar!</x:v>
      </x:c>
      <x:c r="O37" s="77" t="str"/>
      <x:c r="P37" s="77" t="str"/>
      <x:c r="Q37" s="82" t="str">
        <x:v>Delete matching Facebook post</x:v>
      </x:c>
    </x:row>
    <x:row r="38" ht="48" customHeight="1">
      <x:c r="A38" s="77" t="str">
        <x:v>v-040</x:v>
      </x:c>
      <x:c r="B38" s="77" t="str">
        <x:v>Activo</x:v>
      </x:c>
      <x:c r="C38" s="78" t="n">
        <x:v>2023</x:v>
      </x:c>
      <x:c r="D38" s="77" t="str">
        <x:v>Chevrolet</x:v>
      </x:c>
      <x:c r="E38" s="77" t="str">
        <x:v>Equinox</x:v>
      </x:c>
      <x:c r="F38" s="77" t="str"/>
      <x:c r="G38" s="79" t="n">
        <x:v>8829</x:v>
      </x:c>
      <x:c r="H38" s="80" t="n">
        <x:v>22995</x:v>
      </x:c>
      <x:c r="I38" s="77" t="str">
        <x:v>Yes</x:v>
      </x:c>
      <x:c r="J38" s="83" t="b">
        <x:v>1</x:v>
      </x:c>
      <x:c r="K38" s="77" t="str">
        <x:v>Strong</x:v>
      </x:c>
      <x:c r="L38" s="81" t="n">
        <x:v>46227</x:v>
      </x:c>
      <x:c r="M38" s="77" t="str">
        <x:v>https://www.facebook.com/content/insights/?content_id=UzpfSTEwMDA1NzM3OTg4MTE2MjoxNTMzMTI2Njg4NjA5OTc5OjE1MzMxMjY2ODg2MDk5Nzk%3D&amp;entry_point=ProdashCometContentLibraryTable</x:v>
      </x:c>
      <x:c r="N38" s="82" t="str">
        <x:v>Chevrolet Equinox 2023 ✅ Solo 9,000 millas ✅ Excelente condición ✅ Financiamiento disponible 💲 Precio: $22,995 📲 787-233-4800 ¡No dejes pasar esta oportunidad de llevarte una Chevrolet Equinox 2023 con muy poco uso y al mejor precio! Contáctanos hoy para más información o para coordinar tu prueba de manejo.</x:v>
      </x:c>
      <x:c r="O38" s="77" t="str"/>
      <x:c r="P38" s="77" t="str"/>
      <x:c r="Q38" s="82" t="str">
        <x:v>Keep; update Airtable Facebook tracking/link</x:v>
      </x:c>
    </x:row>
    <x:row r="39" ht="48" customHeight="1">
      <x:c r="A39" s="77" t="str">
        <x:v>v-041</x:v>
      </x:c>
      <x:c r="B39" s="77" t="str">
        <x:v>Vendido</x:v>
      </x:c>
      <x:c r="C39" s="78" t="n">
        <x:v>2020</x:v>
      </x:c>
      <x:c r="D39" s="77" t="str">
        <x:v>Toyota</x:v>
      </x:c>
      <x:c r="E39" s="77" t="str">
        <x:v>Yaris</x:v>
      </x:c>
      <x:c r="F39" s="77" t="str"/>
      <x:c r="G39" s="79" t="n">
        <x:v>46616</x:v>
      </x:c>
      <x:c r="H39" s="80" t="n">
        <x:v>12995</x:v>
      </x:c>
      <x:c r="I39" s="77" t="str">
        <x:v>No</x:v>
      </x:c>
      <x:c r="J39" s="77" t="str">
        <x:v>Yes</x:v>
      </x:c>
      <x:c r="K39" s="77" t="str">
        <x:v>Strong</x:v>
      </x:c>
      <x:c r="L39" s="81" t="n">
        <x:v>46226</x:v>
      </x:c>
      <x:c r="M39" s="77" t="str">
        <x:v>https://www.facebook.com/content/insights/?content_id=UzpfSTEwMDA1NzM3OTg4MTE2MjoxNTMyNTI3Nzk4NjY5ODY4OjE1MzI1Mjc3OTg2Njk4Njg%3D&amp;entry_point=ProdashCometContentLibraryTable</x:v>
      </x:c>
      <x:c r="N39" s="82" t="str">
        <x:v>Toyota Yaris 2020 disponible! ✅ Financiamiento Disponible ✅ Solo 46,000 millas ✅ Excelente economía de combustible ✅ Confiabilidad Toyota 💲 Precio: $12,995 📲 787-233-4800 ¡No dejes pasar esta excelente oportunidad! Contáctanos hoy mismo para más información o para coordinar tu prueba de manejo.</x:v>
      </x:c>
      <x:c r="O39" s="77" t="str"/>
      <x:c r="P39" s="77" t="str"/>
      <x:c r="Q39" s="82" t="str">
        <x:v>Delete matching Facebook post</x:v>
      </x:c>
    </x:row>
    <x:row r="40" ht="48" customHeight="1">
      <x:c r="A40" s="77" t="str">
        <x:v>v-042</x:v>
      </x:c>
      <x:c r="B40" s="77" t="str">
        <x:v>Activo</x:v>
      </x:c>
      <x:c r="C40" s="78" t="n">
        <x:v>2020</x:v>
      </x:c>
      <x:c r="D40" s="77" t="str">
        <x:v>Toyota</x:v>
      </x:c>
      <x:c r="E40" s="77" t="str">
        <x:v>RAV4</x:v>
      </x:c>
      <x:c r="F40" s="77" t="str">
        <x:v>XLE Premium</x:v>
      </x:c>
      <x:c r="G40" s="79" t="n">
        <x:v>102914</x:v>
      </x:c>
      <x:c r="H40" s="80" t="n">
        <x:v>24995</x:v>
      </x:c>
      <x:c r="I40" s="77" t="str">
        <x:v>Yes</x:v>
      </x:c>
      <x:c r="J40" s="83" t="b">
        <x:v>1</x:v>
      </x:c>
      <x:c r="K40" s="77" t="str">
        <x:v>Strong</x:v>
      </x:c>
      <x:c r="L40" s="81" t="n">
        <x:v>46196</x:v>
      </x:c>
      <x:c r="M40" s="77" t="str">
        <x:v>https://www.facebook.com/content/insights/?content_id=UzpfSTEwMDA1NzM3OTg4MTE2MjoxNTA2NzcyOTI3OTEyMDIyOjE1MDY3NzI5Mjc5MTIwMjI%3D&amp;entry_point=ProdashCometContentLibraryTable</x:v>
      </x:c>
      <x:c r="N40" s="82" t="str">
        <x:v>🚙 Toyota RAV4 XLE Premium 2020 ✅ 102,000 millas�☀️ Sunroof�✅ Asientos en leather 💲 Precio: $24,995 🏦 ¡Financiamiento disponible! 📲 787-233-4800 🔥 ¡No dejes pasar esta oportunidad! Una SUV reconocida por su comodidad, confiabilidad y excelente rendimiento. ¡Los mejores precios en un solo lugar!</x:v>
      </x:c>
      <x:c r="O40" s="77" t="str"/>
      <x:c r="P40" s="77" t="str"/>
      <x:c r="Q40" s="82" t="str">
        <x:v>Keep; update Airtable Facebook tracking/link</x:v>
      </x:c>
    </x:row>
    <x:row r="41" ht="48" customHeight="1">
      <x:c r="A41" s="77" t="str">
        <x:v>v-043</x:v>
      </x:c>
      <x:c r="B41" s="77" t="str">
        <x:v>Activo</x:v>
      </x:c>
      <x:c r="C41" s="78" t="n">
        <x:v>2022</x:v>
      </x:c>
      <x:c r="D41" s="77" t="str">
        <x:v>Toyota</x:v>
      </x:c>
      <x:c r="E41" s="77" t="str">
        <x:v>Corolla Hatchback</x:v>
      </x:c>
      <x:c r="F41" s="77" t="str">
        <x:v>SE</x:v>
      </x:c>
      <x:c r="G41" s="79" t="n">
        <x:v>26654</x:v>
      </x:c>
      <x:c r="H41" s="80" t="n">
        <x:v>19995</x:v>
      </x:c>
      <x:c r="I41" s="77" t="str">
        <x:v>Yes</x:v>
      </x:c>
      <x:c r="J41" s="83" t="b">
        <x:v>1</x:v>
      </x:c>
      <x:c r="K41" s="77" t="str">
        <x:v>Strong</x:v>
      </x:c>
      <x:c r="L41" s="81" t="n">
        <x:v>45752</x:v>
      </x:c>
      <x:c r="M41" s="77" t="str">
        <x:v>https://www.facebook.com/content/insights/?content_id=UzpfSTEwMDA1NzM3OTg4MTE2MjoxMTQzNTgzMDM3NTY0MzQ4OjExNDM1ODMwMzc1NjQzNDg%3D&amp;entry_point=ProdashCometContentLibraryTable</x:v>
      </x:c>
      <x:c r="N41" s="82" t="str">
        <x:v>TOYOTA COROLLA ✔️AÑO 2022 ✔️26K MILLAS ✔️GARANTÍA Y SERVICIO 💲19,995 🏦FINANCIAMIENTO DISPONIBLE ✅CON O SIN EXPERIENCIA DE CRÉDITO ✅PRECIO COMPETITIVO 📲787-233-4800 CONTAMOS CON UNA GAMA AMPLIA DE 🚘, SOMOS TU DEALER DE CONFIANZA, VISÍTANOS.</x:v>
      </x:c>
      <x:c r="O41" s="77" t="str"/>
      <x:c r="P41" s="77" t="str"/>
      <x:c r="Q41" s="82" t="str">
        <x:v>Keep; update Airtable Facebook tracking/link</x:v>
      </x:c>
    </x:row>
    <x:row r="42" ht="48" customHeight="1">
      <x:c r="A42" s="77" t="str">
        <x:v>v-044</x:v>
      </x:c>
      <x:c r="B42" s="77" t="str">
        <x:v>Activo</x:v>
      </x:c>
      <x:c r="C42" s="78" t="n">
        <x:v>2019</x:v>
      </x:c>
      <x:c r="D42" s="77" t="str">
        <x:v>Infiniti</x:v>
      </x:c>
      <x:c r="E42" s="77" t="str">
        <x:v>QX50</x:v>
      </x:c>
      <x:c r="F42" s="77" t="str"/>
      <x:c r="G42" s="79" t="n">
        <x:v>74771</x:v>
      </x:c>
      <x:c r="H42" s="80" t="n">
        <x:v>20995</x:v>
      </x:c>
      <x:c r="I42" s="77" t="str">
        <x:v>Yes</x:v>
      </x:c>
      <x:c r="J42" s="83" t="b">
        <x:v>1</x:v>
      </x:c>
      <x:c r="K42" s="77" t="str">
        <x:v>Probable</x:v>
      </x:c>
      <x:c r="L42" s="81" t="n">
        <x:v>46196</x:v>
      </x:c>
      <x:c r="M42" s="77" t="str">
        <x:v>https://www.facebook.com/content/insights/?content_id=UzpfSTEwMDA1NzM3OTg4MTE2MjoxNTA2NTQxNDQxMjY4NTA0OjE1MDY1NDE0NDEyNjg1MDQ%3D&amp;entry_point=ProdashCometContentLibraryTable</x:v>
      </x:c>
      <x:c r="N42" s="82" t="str">
        <x:v>🚗 ¡Elegancia, lujo y comodidad en un solo SUV! Infiniti QX50, Año 2019 ✅ 74,000 millas 🌞 Techo panorámico ✅Asientos en leather 💲 Precio: $21,995 🏦 ¡Financiamiento disponible! 📲 787-233-4800</x:v>
      </x:c>
      <x:c r="O42" s="77" t="str"/>
      <x:c r="P42" s="77" t="str"/>
      <x:c r="Q42" s="82" t="str">
        <x:v>Keep; update Airtable Facebook tracking/link</x:v>
      </x:c>
    </x:row>
    <x:row r="43" ht="48" customHeight="1">
      <x:c r="A43" s="77" t="str">
        <x:v>v-045</x:v>
      </x:c>
      <x:c r="B43" s="77" t="str">
        <x:v>Activo</x:v>
      </x:c>
      <x:c r="C43" s="78" t="n">
        <x:v>2025</x:v>
      </x:c>
      <x:c r="D43" s="77" t="str">
        <x:v>Toyota</x:v>
      </x:c>
      <x:c r="E43" s="77" t="str">
        <x:v>Corolla</x:v>
      </x:c>
      <x:c r="F43" s="77" t="str">
        <x:v>SE</x:v>
      </x:c>
      <x:c r="G43" s="79" t="n">
        <x:v>5143</x:v>
      </x:c>
      <x:c r="H43" s="80" t="n">
        <x:v>26995</x:v>
      </x:c>
      <x:c r="I43" s="77" t="str">
        <x:v>Yes</x:v>
      </x:c>
      <x:c r="J43" s="83" t="b">
        <x:v>1</x:v>
      </x:c>
      <x:c r="K43" s="77" t="str">
        <x:v>Strong</x:v>
      </x:c>
      <x:c r="L43" s="81" t="n">
        <x:v>46227</x:v>
      </x:c>
      <x:c r="M43" s="77" t="str">
        <x:v>https://www.facebook.com/content/insights/?content_id=UzpfSTEwMDA1NzM3OTg4MTE2MjoxNTMzMzU0NTc1MjUzODU3OjE1MzMzNTQ1NzUyNTM4NTc%3D&amp;entry_point=ProdashCometContentLibraryTable</x:v>
      </x:c>
      <x:c r="N43" s="82" t="str">
        <x:v>¡Como nuevo y listo para estrenar! Toyota Corolla SE 2025 ✅ Solo 5,000 millas ✅ Sunroof ✅ Financiamiento disponible 💲 Precio: $26,995 Disfruta la confiabilidad de Toyota con el estilo deportivo del Corolla SE y el confort de su sunroof. 📲 Llámanos o escríbenos al 787-233-4800 para más información o para coordinar tu prueba de manejo. ¡No dejes pasar esta oportunidad!</x:v>
      </x:c>
      <x:c r="O43" s="77" t="str"/>
      <x:c r="P43" s="77" t="str"/>
      <x:c r="Q43" s="82" t="str">
        <x:v>Keep; update Airtable Facebook tracking/link</x:v>
      </x:c>
    </x:row>
    <x:row r="44" ht="48" customHeight="1">
      <x:c r="A44" s="77" t="str">
        <x:v>v-046</x:v>
      </x:c>
      <x:c r="B44" s="77" t="str">
        <x:v>Activo</x:v>
      </x:c>
      <x:c r="C44" s="78" t="n">
        <x:v>2018</x:v>
      </x:c>
      <x:c r="D44" s="77" t="str">
        <x:v>Ford</x:v>
      </x:c>
      <x:c r="E44" s="77" t="str">
        <x:v>F-150</x:v>
      </x:c>
      <x:c r="F44" s="77" t="str">
        <x:v>STX</x:v>
      </x:c>
      <x:c r="G44" s="79" t="n">
        <x:v>140606</x:v>
      </x:c>
      <x:c r="H44" s="80" t="n">
        <x:v>24995</x:v>
      </x:c>
      <x:c r="I44" s="77" t="str">
        <x:v>Yes</x:v>
      </x:c>
      <x:c r="J44" s="83" t="b">
        <x:v>1</x:v>
      </x:c>
      <x:c r="K44" s="77" t="str">
        <x:v>Strong</x:v>
      </x:c>
      <x:c r="L44" s="81" t="n">
        <x:v>46227</x:v>
      </x:c>
      <x:c r="M44" s="77" t="str">
        <x:v>https://www.facebook.com/content/insights/?content_id=UzpfSTEwMDA1NzM3OTg4MTE2MjoxNTMzMzc1MTU4NTg1MTMyOjE1MzMzNzUxNTg1ODUxMzI%3D&amp;entry_point=ProdashCometContentLibraryTable</x:v>
      </x:c>
      <x:c r="N44" s="82" t="str">
        <x:v>🚨 ¡Disponible para entrega inmediata! 🚨 Ford F-150 STX 4x4 📅 Año 2018 🛣️ 140,000 millas ⚙️ Motor 2.7L EcoBoost 💪 Tracción 4x4 💳 ¡Financiamiento disponible! 💲Precio: $24,995 📲 787-233-4800 ¡No dejes pasar esta excelente oportunidad de llevarte una pickup potente, confiable y lista para cualquier trabajo o aventura! Contáctanos hoy mismo para más información o para coordinar tu prueba de manejo.</x:v>
      </x:c>
      <x:c r="O44" s="77" t="str"/>
      <x:c r="P44" s="77" t="str"/>
      <x:c r="Q44" s="82" t="str">
        <x:v>Keep; update Airtable Facebook tracking/link</x:v>
      </x:c>
    </x:row>
    <x:row r="45" ht="48" customHeight="1">
      <x:c r="A45" s="77" t="str">
        <x:v>v-047</x:v>
      </x:c>
      <x:c r="B45" s="77" t="str">
        <x:v>Vendido</x:v>
      </x:c>
      <x:c r="C45" s="78" t="n">
        <x:v>2022</x:v>
      </x:c>
      <x:c r="D45" s="77" t="str">
        <x:v>Toyota</x:v>
      </x:c>
      <x:c r="E45" s="77" t="str">
        <x:v>C-HR</x:v>
      </x:c>
      <x:c r="F45" s="77" t="str">
        <x:v>Nightshade</x:v>
      </x:c>
      <x:c r="G45" s="79" t="n">
        <x:v>53867</x:v>
      </x:c>
      <x:c r="H45" s="80" t="n">
        <x:v>21995</x:v>
      </x:c>
      <x:c r="I45" s="77" t="str">
        <x:v>No</x:v>
      </x:c>
      <x:c r="J45" s="77" t="str">
        <x:v>Yes</x:v>
      </x:c>
      <x:c r="K45" s="77" t="str">
        <x:v>Strong</x:v>
      </x:c>
      <x:c r="L45" s="81" t="n">
        <x:v>46153</x:v>
      </x:c>
      <x:c r="M45" s="77" t="str">
        <x:v>https://www.facebook.com/content/insights/?content_id=UzpfSTEwMDA1NzM3OTg4MTE2MjoxNDY3ODgzNjQxODAwOTUxOjE0Njc4ODM2NDE4MDA5NTE%3D&amp;entry_point=ProdashCometContentLibraryTable</x:v>
      </x:c>
      <x:c r="N45" s="82" t="str">
        <x:v>🔥 Disponible para entrega 🔥 🚘 Toyota C-HR Nightshade 2022 📍 Año 2022 🛣️ 53,000 millas ⚫ Edición Nightshade con detalles negros exclusivos ⛽ Motor 2.0L 4 cilindros ⚙️ Transmisión automática 📱 Apple CarPlay &amp; Android Auto ✨ Diseño deportivo, moderno y económico en gasolina 💲21,995 📲787-233-4800 💥 ¡Llévatela hoy con excelentes opciones de financiamiento!</x:v>
      </x:c>
      <x:c r="O45" s="77" t="str"/>
      <x:c r="P45" s="77" t="str"/>
      <x:c r="Q45" s="82" t="str">
        <x:v>Delete matching Facebook post</x:v>
      </x:c>
    </x:row>
    <x:row r="46" ht="48" customHeight="1">
      <x:c r="A46" s="77" t="str">
        <x:v>v-048</x:v>
      </x:c>
      <x:c r="B46" s="77" t="str">
        <x:v>Activo</x:v>
      </x:c>
      <x:c r="C46" s="78" t="n">
        <x:v>2023</x:v>
      </x:c>
      <x:c r="D46" s="77" t="str">
        <x:v>Mitsubishi</x:v>
      </x:c>
      <x:c r="E46" s="77" t="str">
        <x:v>Outlander</x:v>
      </x:c>
      <x:c r="F46" s="77" t="str">
        <x:v>Sport</x:v>
      </x:c>
      <x:c r="G46" s="79" t="n">
        <x:v>25498</x:v>
      </x:c>
      <x:c r="H46" s="80" t="n">
        <x:v>19995</x:v>
      </x:c>
      <x:c r="I46" s="77" t="str">
        <x:v>Yes</x:v>
      </x:c>
      <x:c r="J46" s="83" t="b">
        <x:v>1</x:v>
      </x:c>
      <x:c r="K46" s="77" t="str">
        <x:v>Strong</x:v>
      </x:c>
      <x:c r="L46" s="81" t="n">
        <x:v>46228</x:v>
      </x:c>
      <x:c r="M46" s="77" t="str">
        <x:v>https://www.facebook.com/content/insights/?content_id=UzpfSTEwMDA1NzM3OTg4MTE2MjoxNTM0MTQwOTU4NTA4NTUyOjE1MzQxNDA5NTg1MDg1NTI%3D&amp;entry_point=ProdashCometContentLibraryTable</x:v>
      </x:c>
      <x:c r="N46" s="82" t="str">
        <x:v>🚗 ¡Disponible para entrega inmediata! 🚗 Mitsubishi Outlander ASX 4WD ✔️Año: 2023 🛣️ Millaje: 25,000 millas ⚙️ Tracción: 4WD 💲Precio: $19,995 Aprovecha esta excelente oportunidad de llevarte una SUV moderna, cómoda y lista para cualquier aventura. 📲 787-233-4800 ¡Contáctanos hoy y solicita más información o tu financiamiento!</x:v>
      </x:c>
      <x:c r="O46" s="77" t="str"/>
      <x:c r="P46" s="77" t="str"/>
      <x:c r="Q46" s="82" t="str">
        <x:v>Keep; update Airtable Facebook tracking/link</x:v>
      </x:c>
    </x:row>
    <x:row r="47" ht="48" customHeight="1">
      <x:c r="A47" s="77" t="str">
        <x:v>v-049</x:v>
      </x:c>
      <x:c r="B47" s="77" t="str">
        <x:v>Activo</x:v>
      </x:c>
      <x:c r="C47" s="78" t="n">
        <x:v>2021</x:v>
      </x:c>
      <x:c r="D47" s="77" t="str">
        <x:v>Mercedes-Benz</x:v>
      </x:c>
      <x:c r="E47" s="77" t="str">
        <x:v>A 220</x:v>
      </x:c>
      <x:c r="F47" s="77" t="str"/>
      <x:c r="G47" s="79" t="n">
        <x:v>32500</x:v>
      </x:c>
      <x:c r="H47" s="80" t="n">
        <x:v>23995</x:v>
      </x:c>
      <x:c r="I47" s="77" t="str">
        <x:v>Yes</x:v>
      </x:c>
      <x:c r="J47" s="83" t="b">
        <x:v>1</x:v>
      </x:c>
      <x:c r="K47" s="77" t="str">
        <x:v>Strong</x:v>
      </x:c>
      <x:c r="L47" s="81" t="n">
        <x:v>46166</x:v>
      </x:c>
      <x:c r="M47" s="77" t="str">
        <x:v>https://www.facebook.com/content/insights/?content_id=UzpfSTEwMDA1NzM3OTg4MTE2MjoxNDc5ODM1MzkzOTM5MTA5OjE0Nzk4MzUzOTM5MzkxMDk%3D&amp;entry_point=ProdashCometContentLibraryTable</x:v>
      </x:c>
      <x:c r="N47" s="82" t="str">
        <x:v>✨ Mercedes-Benz A 220 📅 Año 2021 📍 32K millas 🌤️ Techo panorámico ✔️Asientos en leather 🏦 Financiamiento disponible 💲 Precio: $23,995 📲 787-233-4800 ✅ Excelentes ofertas en un solo lugar</x:v>
      </x:c>
      <x:c r="O47" s="77" t="str">
        <x:v>Draft</x:v>
      </x:c>
      <x:c r="P47" s="77" t="str"/>
      <x:c r="Q47" s="82" t="str">
        <x:v>Keep; update Airtable Facebook tracking/link</x:v>
      </x:c>
    </x:row>
    <x:row r="48" ht="48" customHeight="1">
      <x:c r="A48" s="77" t="str">
        <x:v>v-050</x:v>
      </x:c>
      <x:c r="B48" s="77" t="str">
        <x:v>Vendido</x:v>
      </x:c>
      <x:c r="C48" s="78" t="n">
        <x:v>2015</x:v>
      </x:c>
      <x:c r="D48" s="77" t="str">
        <x:v>Honda</x:v>
      </x:c>
      <x:c r="E48" s="77" t="str">
        <x:v>Civic</x:v>
      </x:c>
      <x:c r="F48" s="77" t="str">
        <x:v>Si</x:v>
      </x:c>
      <x:c r="G48" s="79" t="n">
        <x:v>114518</x:v>
      </x:c>
      <x:c r="H48" s="80" t="n">
        <x:v>18495</x:v>
      </x:c>
      <x:c r="I48" s="77" t="str">
        <x:v>No</x:v>
      </x:c>
      <x:c r="J48" s="77" t="str">
        <x:v>Yes</x:v>
      </x:c>
      <x:c r="K48" s="77" t="str">
        <x:v>Strong</x:v>
      </x:c>
      <x:c r="L48" s="81" t="n">
        <x:v>46230</x:v>
      </x:c>
      <x:c r="M48" s="77" t="str">
        <x:v>https://www.facebook.com/content/insights/?content_id=UzpfSTEwMDA1NzM3OTg4MTE2MjoxNTM1Njk5MDg1MDE5NDA2OjE1MzU2OTkwODUwMTk0MDY%3D&amp;entry_point=ProdashCometContentLibraryTable</x:v>
      </x:c>
      <x:c r="N48" s="82" t="str">
        <x:v>🔥 Honda Civic Si 2015 – ¡Deportivo, potente y divertido de manejar! ✅ Año 2015 ✅ 114,000 millas ✅ Transmisión manual ✅ Sunroof ✅ Motor 2.4L i-VTEC 💲Precio: $18,495 📲 787-233-4800 Si buscas un sedán con excelente desempeño, estilo deportivo y la confiabilidad de Honda, ¡este Civic Si es para ti! Escríbenos hoy mismo para más información o para coordinar tu prueba de manejo.</x:v>
      </x:c>
      <x:c r="O48" s="77" t="str"/>
      <x:c r="P48" s="77" t="str"/>
      <x:c r="Q48" s="82" t="str">
        <x:v>Delete matching Facebook post</x:v>
      </x:c>
    </x:row>
    <x:row r="49" ht="48" customHeight="1">
      <x:c r="A49" s="77" t="str">
        <x:v>v-051</x:v>
      </x:c>
      <x:c r="B49" s="77" t="str">
        <x:v>Activo</x:v>
      </x:c>
      <x:c r="C49" s="78" t="n">
        <x:v>2006</x:v>
      </x:c>
      <x:c r="D49" s="77" t="str">
        <x:v>Toyota</x:v>
      </x:c>
      <x:c r="E49" s="77" t="str">
        <x:v>Tacoma</x:v>
      </x:c>
      <x:c r="F49" s="77" t="str"/>
      <x:c r="G49" s="79" t="n">
        <x:v>223000</x:v>
      </x:c>
      <x:c r="H49" s="80" t="n">
        <x:v>11995</x:v>
      </x:c>
      <x:c r="I49" s="77" t="str">
        <x:v>Yes</x:v>
      </x:c>
      <x:c r="J49" s="83" t="b">
        <x:v>1</x:v>
      </x:c>
      <x:c r="K49" s="77" t="str">
        <x:v>None</x:v>
      </x:c>
      <x:c r="L49" s="81"/>
      <x:c r="M49" s="77" t="str"/>
      <x:c r="N49" s="82" t="str"/>
      <x:c r="O49" s="77" t="str"/>
      <x:c r="P49" s="77" t="str"/>
      <x:c r="Q49" s="82" t="str">
        <x:v>Create Facebook post from Airtable caption v2</x:v>
      </x:c>
    </x:row>
    <x:row r="50" ht="48" customHeight="1">
      <x:c r="A50" s="77" t="str">
        <x:v>v-052</x:v>
      </x:c>
      <x:c r="B50" s="77" t="str">
        <x:v>Vendido</x:v>
      </x:c>
      <x:c r="C50" s="78" t="n">
        <x:v>2014</x:v>
      </x:c>
      <x:c r="D50" s="77" t="str">
        <x:v>Toyota</x:v>
      </x:c>
      <x:c r="E50" s="77" t="str">
        <x:v>Highlander</x:v>
      </x:c>
      <x:c r="F50" s="77" t="str">
        <x:v>LE</x:v>
      </x:c>
      <x:c r="G50" s="79" t="n">
        <x:v>110462</x:v>
      </x:c>
      <x:c r="H50" s="80" t="n">
        <x:v>14995</x:v>
      </x:c>
      <x:c r="I50" s="77" t="str">
        <x:v>No</x:v>
      </x:c>
      <x:c r="J50" s="77" t="str">
        <x:v>Yes</x:v>
      </x:c>
      <x:c r="K50" s="77" t="str">
        <x:v>Strong</x:v>
      </x:c>
      <x:c r="L50" s="81" t="n">
        <x:v>46232</x:v>
      </x:c>
      <x:c r="M50" s="77" t="str">
        <x:v>https://www.facebook.com/content/insights/?content_id=UzpfSTEwMDA1NzM3OTg4MTE2MjoxNTM3NTMxNjMxNTAyODE4OjE1Mzc1MzE2MzE1MDI4MTg%3D&amp;entry_point=ProdashCometContentLibraryTable</x:v>
      </x:c>
      <x:c r="N50" s="82" t="str">
        <x:v>TOYOTA HIGHLANDER 2014 Una SUV espaciosa, cómoda y perfecta para toda la familia. 🔥 🛣️ 110,000 millas 👨‍👩‍👧‍👦 Tres filas de asientos ✅ Óptimas condiciones ✅ Motor V6 3.5L 💲14,995 📲 787-233-4800</x:v>
      </x:c>
      <x:c r="O50" s="77" t="str"/>
      <x:c r="P50" s="77" t="str"/>
      <x:c r="Q50" s="82" t="str">
        <x:v>Delete matching Facebook post</x:v>
      </x:c>
    </x:row>
    <x:row r="51" ht="48" customHeight="1">
      <x:c r="A51" s="77" t="str">
        <x:v>v-053</x:v>
      </x:c>
      <x:c r="B51" s="77" t="str">
        <x:v>Activo</x:v>
      </x:c>
      <x:c r="C51" s="78" t="n">
        <x:v>2024</x:v>
      </x:c>
      <x:c r="D51" s="77" t="str">
        <x:v>Hyundai</x:v>
      </x:c>
      <x:c r="E51" s="77" t="str">
        <x:v>Venue</x:v>
      </x:c>
      <x:c r="F51" s="77" t="str"/>
      <x:c r="G51" s="79" t="n">
        <x:v>28105</x:v>
      </x:c>
      <x:c r="H51" s="80" t="n">
        <x:v>17995</x:v>
      </x:c>
      <x:c r="I51" s="77" t="str">
        <x:v>Yes</x:v>
      </x:c>
      <x:c r="J51" s="83" t="b">
        <x:v>1</x:v>
      </x:c>
      <x:c r="K51" s="77" t="str">
        <x:v>Strong</x:v>
      </x:c>
      <x:c r="L51" s="81" t="n">
        <x:v>46232</x:v>
      </x:c>
      <x:c r="M51" s="77" t="str">
        <x:v>https://www.facebook.com/content/insights/?content_id=UzpfSTEwMDA1NzM3OTg4MTE2MjoxNTM3ODkzODQ0Nzk5OTMwOjE1Mzc4OTM4NDQ3OTk5MzA%3D&amp;entry_point=ProdashCometContentLibraryTable</x:v>
      </x:c>
      <x:c r="N51" s="82" t="str">
        <x:v>🚨 ¡EXCELENTE OPORTUNIDAD! 🚨 Compacta, moderna y perfecta para el día a día. 🚗 Hyundai Venue 2024 ✨ 28K millas 💰 Precio: $17,995 💳 Financiamiento disponible 📲 787-233-4800 📩 ¡Escríbenos hoy y separa la tuya!</x:v>
      </x:c>
      <x:c r="O51" s="77" t="str"/>
      <x:c r="P51" s="77" t="str"/>
      <x:c r="Q51" s="82" t="str">
        <x:v>Keep; update Airtable Facebook tracking/link</x:v>
      </x:c>
    </x:row>
    <x:row r="52" ht="48" customHeight="1">
      <x:c r="A52" s="77" t="str">
        <x:v>v-054</x:v>
      </x:c>
      <x:c r="B52" s="77" t="str">
        <x:v>Activo</x:v>
      </x:c>
      <x:c r="C52" s="78" t="n">
        <x:v>2023</x:v>
      </x:c>
      <x:c r="D52" s="77" t="str">
        <x:v>Mitsubishi</x:v>
      </x:c>
      <x:c r="E52" s="77" t="str">
        <x:v>Outlander</x:v>
      </x:c>
      <x:c r="F52" s="77" t="str">
        <x:v>Sport</x:v>
      </x:c>
      <x:c r="G52" s="79" t="n">
        <x:v>28034</x:v>
      </x:c>
      <x:c r="H52" s="80" t="n">
        <x:v>22995</x:v>
      </x:c>
      <x:c r="I52" s="77" t="str">
        <x:v>Yes</x:v>
      </x:c>
      <x:c r="J52" s="83" t="b">
        <x:v>1</x:v>
      </x:c>
      <x:c r="K52" s="77" t="str">
        <x:v>Strong</x:v>
      </x:c>
      <x:c r="L52" s="81" t="n">
        <x:v>46233</x:v>
      </x:c>
      <x:c r="M52" s="77" t="str">
        <x:v>https://www.facebook.com/content/insights/?content_id=UzpfSTEwMDA1NzM3OTg4MTE2MjoxNTM4MzA5NTg4MDkxNjg5OjE1MzgzMDk1ODgwOTE2ODk%3D&amp;entry_point=ProdashCometContentLibraryTable</x:v>
      </x:c>
      <x:c r="N52" s="82" t="str">
        <x:v>🚗 Mitsubishi Outlander 2023 Disfruta de un SUV moderno, espacioso y confiable, perfecto para toda la familia. ✅ Solo 28,000 millas 💲22,995 💳 ¡Financiamiento disponible! 📲 Llama o escribe al 787-233-4800 para más información o para coordinar tu prueba de manejo. ¡No dejes pasar esta excelente oportunidad!</x:v>
      </x:c>
      <x:c r="O52" s="77" t="str"/>
      <x:c r="P52" s="77" t="str"/>
      <x:c r="Q52" s="82" t="str">
        <x:v>Keep; update Airtable Facebook tracking/link</x:v>
      </x:c>
    </x:row>
    <x:row r="53" ht="48" customHeight="1">
      <x:c r="A53" s="77" t="str">
        <x:v>v-055</x:v>
      </x:c>
      <x:c r="B53" s="77" t="str">
        <x:v>Activo</x:v>
      </x:c>
      <x:c r="C53" s="78" t="n">
        <x:v>2022</x:v>
      </x:c>
      <x:c r="D53" s="77" t="str">
        <x:v>Hyundai</x:v>
      </x:c>
      <x:c r="E53" s="77" t="str">
        <x:v>Venue</x:v>
      </x:c>
      <x:c r="F53" s="77" t="str"/>
      <x:c r="G53" s="79" t="n">
        <x:v>42820</x:v>
      </x:c>
      <x:c r="H53" s="80" t="n">
        <x:v>15995</x:v>
      </x:c>
      <x:c r="I53" s="77" t="str">
        <x:v>Yes</x:v>
      </x:c>
      <x:c r="J53" s="83" t="b">
        <x:v>1</x:v>
      </x:c>
      <x:c r="K53" s="77" t="str">
        <x:v>Strong</x:v>
      </x:c>
      <x:c r="L53" s="81" t="n">
        <x:v>46235</x:v>
      </x:c>
      <x:c r="M53" s="77" t="str">
        <x:v>https://www.facebook.com/content/insights/?content_id=UzpfSTEwMDA1NzM3OTg4MTE2MjoxNTQwMTEwOTUxMjQ0ODg2OjE1NDAxMTA5NTEyNDQ4ODY%3D&amp;entry_point=ProdashCometContentLibraryTable</x:v>
      </x:c>
      <x:c r="N53" s="82" t="str">
        <x:v>🚗 Hyundai Venue 2022 ✨ ✔️ Solo 42,000 millas ✔️ Excelente condición ✔️ Económica, cómoda y lista para la carretera ✔️ Financiamiento disponible 💲 Precio: $15,995 📲 787-233-4800 ¡No dejes pasar esta excelente oportunidad! Contáctanos hoy mismo para más información o para coordinar tu prueba de manejo.</x:v>
      </x:c>
      <x:c r="O53" s="77" t="str"/>
      <x:c r="P53" s="77" t="str"/>
      <x:c r="Q53" s="82" t="str">
        <x:v>Keep; update Airtable Facebook tracking/link</x:v>
      </x:c>
    </x:row>
    <x:row r="54" ht="48" customHeight="1">
      <x:c r="A54" s="77" t="str">
        <x:v>v-056</x:v>
      </x:c>
      <x:c r="B54" s="77" t="str">
        <x:v>Activo</x:v>
      </x:c>
      <x:c r="C54" s="78" t="n">
        <x:v>2020</x:v>
      </x:c>
      <x:c r="D54" s="77" t="str">
        <x:v>Ford</x:v>
      </x:c>
      <x:c r="E54" s="77" t="str">
        <x:v>F-150</x:v>
      </x:c>
      <x:c r="F54" s="77" t="str">
        <x:v>XLT</x:v>
      </x:c>
      <x:c r="G54" s="79" t="n">
        <x:v>154560</x:v>
      </x:c>
      <x:c r="H54" s="80" t="n">
        <x:v>25995</x:v>
      </x:c>
      <x:c r="I54" s="77" t="str">
        <x:v>Yes</x:v>
      </x:c>
      <x:c r="J54" s="83" t="b">
        <x:v>1</x:v>
      </x:c>
      <x:c r="K54" s="77" t="str">
        <x:v>Strong</x:v>
      </x:c>
      <x:c r="L54" s="81" t="n">
        <x:v>46235</x:v>
      </x:c>
      <x:c r="M54" s="77" t="str">
        <x:v>https://www.facebook.com/content/insights/?content_id=UzpfSTEwMDA1NzM3OTg4MTE2MjoxNTQwMzUzMjIxMjIwNjU5OjE1NDAzNTMyMjEyMjA2NTk%3D&amp;entry_point=ProdashCometContentLibraryTable</x:v>
      </x:c>
      <x:c r="N54" s="82" t="str">
        <x:v>🚨 ¡Ford F-150 XLT 4x4 Disponible! 🚨 ✅Año 2020 📍 Importada de Florida ⚙️ Motor 5.0L V8 ✅ 4x4 🛣️ 154,000 millas ✅ Lista para trabajar o disfrutar en cualquier terreno. 💰 Precio: $25,995 💳 ¡Financiamiento disponible! 📲 787-233-4800 ¡Contáctanos hoy mismo!</x:v>
      </x:c>
      <x:c r="O54" s="77" t="str"/>
      <x:c r="P54" s="77" t="str"/>
      <x:c r="Q54" s="82" t="str">
        <x:v>Keep; update Airtable Facebook tracking/link</x:v>
      </x:c>
    </x:row>
    <x:row r="55" ht="48" customHeight="1">
      <x:c r="A55" s="77" t="str">
        <x:v>v-057</x:v>
      </x:c>
      <x:c r="B55" s="77" t="str">
        <x:v>Activo</x:v>
      </x:c>
      <x:c r="C55" s="78" t="n">
        <x:v>2023</x:v>
      </x:c>
      <x:c r="D55" s="77" t="str">
        <x:v>Kia</x:v>
      </x:c>
      <x:c r="E55" s="77" t="str">
        <x:v>Rio</x:v>
      </x:c>
      <x:c r="F55" s="77" t="str"/>
      <x:c r="G55" s="79" t="n">
        <x:v>69251</x:v>
      </x:c>
      <x:c r="H55" s="80" t="n">
        <x:v>13995</x:v>
      </x:c>
      <x:c r="I55" s="77" t="str">
        <x:v>Yes</x:v>
      </x:c>
      <x:c r="J55" s="83" t="b">
        <x:v>1</x:v>
      </x:c>
      <x:c r="K55" s="77" t="str">
        <x:v>Strong</x:v>
      </x:c>
      <x:c r="L55" s="81" t="n">
        <x:v>46237</x:v>
      </x:c>
      <x:c r="M55" s="77" t="str">
        <x:v>https://www.facebook.com/content/insights/?content_id=UzpfSTEwMDA1NzM3OTg4MTE2MjoxNTQyMzM0NDkxMDIyNTMyOjE1NDIzMzQ0OTEwMjI1MzI%3D&amp;entry_point=ProdashCometContentLibraryTable</x:v>
      </x:c>
      <x:c r="N55" s="82" t="str">
        <x:v>🚨 ¡2023 Kia Río Disponible! 🚨 ✅ Año 2023 📍 Local ✅ FWD / delantera 🛣️ 69,251 millas ✅ Disponible para entrega inmediata. 💰 Precio: $13,995 💳 ¡Financiamiento disponible! 📲 787-233-4800 ¡Contáctanos hoy mismo!</x:v>
      </x:c>
      <x:c r="O55" s="77" t="str">
        <x:v>Posted</x:v>
      </x:c>
      <x:c r="P55" s="77" t="str"/>
      <x:c r="Q55" s="82" t="str">
        <x:v>Keep; update Airtable Facebook tracking/link</x:v>
      </x:c>
    </x:row>
    <x:row r="56" ht="48" customHeight="1">
      <x:c r="A56" s="77" t="str">
        <x:v>v-058</x:v>
      </x:c>
      <x:c r="B56" s="77" t="str">
        <x:v>Activo</x:v>
      </x:c>
      <x:c r="C56" s="78" t="n">
        <x:v>2024</x:v>
      </x:c>
      <x:c r="D56" s="77" t="str">
        <x:v>Kia</x:v>
      </x:c>
      <x:c r="E56" s="77" t="str">
        <x:v>Soul</x:v>
      </x:c>
      <x:c r="F56" s="77" t="str"/>
      <x:c r="G56" s="79" t="n">
        <x:v>20019</x:v>
      </x:c>
      <x:c r="H56" s="80" t="n">
        <x:v>17995</x:v>
      </x:c>
      <x:c r="I56" s="77" t="str">
        <x:v>Yes</x:v>
      </x:c>
      <x:c r="J56" s="83" t="b">
        <x:v>1</x:v>
      </x:c>
      <x:c r="K56" s="77" t="str">
        <x:v>Strong</x:v>
      </x:c>
      <x:c r="L56" s="81" t="n">
        <x:v>46237</x:v>
      </x:c>
      <x:c r="M56" s="77" t="str">
        <x:v>https://www.facebook.com/content/insights/?content_id=UzpfSTEwMDA1NzM3OTg4MTE2MjoxNTQyMzM1NjUxMDIyNDE2OjE1NDIzMzU2NTEwMjI0MTY%3D&amp;entry_point=ProdashCometContentLibraryTable</x:v>
      </x:c>
      <x:c r="N56" s="82" t="str">
        <x:v>🚨 ¡2024 Kia Soul Disponible! 🚨 ✅ Año 2024 📍 Local ✅ FWD / delantera 🛣️ 20,019 millas ✅ Disponible para entrega inmediata. 💰 Precio: $17,995 💳 ¡Financiamiento disponible! 📲 787-233-4800 ¡Contáctanos hoy mismo!</x:v>
      </x:c>
      <x:c r="O56" s="77" t="str">
        <x:v>Posted</x:v>
      </x:c>
      <x:c r="P56" s="77" t="str"/>
      <x:c r="Q56" s="82" t="str">
        <x:v>Keep; update Airtable Facebook tracking/link</x:v>
      </x:c>
    </x:row>
    <x:row r="57" ht="48" customHeight="1">
      <x:c r="A57" s="77" t="str">
        <x:v>v-059</x:v>
      </x:c>
      <x:c r="B57" s="77" t="str">
        <x:v>Activo</x:v>
      </x:c>
      <x:c r="C57" s="78" t="n">
        <x:v>2018</x:v>
      </x:c>
      <x:c r="D57" s="77" t="str">
        <x:v>Toyota</x:v>
      </x:c>
      <x:c r="E57" s="77" t="str">
        <x:v>Corolla</x:v>
      </x:c>
      <x:c r="F57" s="77" t="str">
        <x:v>iM</x:v>
      </x:c>
      <x:c r="G57" s="79" t="n">
        <x:v>91369</x:v>
      </x:c>
      <x:c r="H57" s="80" t="n">
        <x:v>11995</x:v>
      </x:c>
      <x:c r="I57" s="77" t="str">
        <x:v>Yes</x:v>
      </x:c>
      <x:c r="J57" s="83" t="b">
        <x:v>1</x:v>
      </x:c>
      <x:c r="K57" s="77" t="str">
        <x:v>None</x:v>
      </x:c>
      <x:c r="L57" s="81"/>
      <x:c r="M57" s="77" t="str"/>
      <x:c r="N57" s="82" t="str"/>
      <x:c r="O57" s="77" t="str"/>
      <x:c r="P57" s="77" t="str"/>
      <x:c r="Q57" s="82" t="str">
        <x:v>Create Facebook post from Airtable caption v2</x:v>
      </x:c>
    </x:row>
    <x:row r="58" ht="48" customHeight="1">
      <x:c r="A58" s="77" t="str">
        <x:v>v-060</x:v>
      </x:c>
      <x:c r="B58" s="77" t="str">
        <x:v>Activo</x:v>
      </x:c>
      <x:c r="C58" s="78" t="n">
        <x:v>2018</x:v>
      </x:c>
      <x:c r="D58" s="77" t="str">
        <x:v>Ford</x:v>
      </x:c>
      <x:c r="E58" s="77" t="str">
        <x:v>F-150</x:v>
      </x:c>
      <x:c r="F58" s="77" t="str">
        <x:v>XLT</x:v>
      </x:c>
      <x:c r="G58" s="79" t="n">
        <x:v>124402</x:v>
      </x:c>
      <x:c r="H58" s="80" t="n">
        <x:v>23995</x:v>
      </x:c>
      <x:c r="I58" s="77" t="str">
        <x:v>Yes</x:v>
      </x:c>
      <x:c r="J58" s="83" t="b">
        <x:v>1</x:v>
      </x:c>
      <x:c r="K58" s="77" t="str">
        <x:v>Ambiguous</x:v>
      </x:c>
      <x:c r="L58" s="81" t="n">
        <x:v>46199</x:v>
      </x:c>
      <x:c r="M58" s="77" t="str">
        <x:v>https://www.facebook.com/content/insights/?content_id=UzpfSTEwMDA1NzM3OTg4MTE2MjoxNTA5NDUzMTE3NjQ0MDAzOjE1MDk0NTMxMTc2NDQwMDM%3D&amp;entry_point=ProdashCometContentLibraryTable</x:v>
      </x:c>
      <x:c r="N58" s="82" t="str">
        <x:v>Ford F-150 XLT, Año 2018, motor 2.7L EcoBoost, Importada de Florida 🇺🇸 ✅ Potente motor V6 Twin-Turbo ✅ Excelente desempeño y economía de combustible ✅ Lista para trabajar o disfrutar en familia 📲 787-233-4800 💲 Precio: $24,995 🔥 ¡Aprovecha esta oportunidad!</x:v>
      </x:c>
      <x:c r="O58" s="77" t="str"/>
      <x:c r="P58" s="77" t="str"/>
      <x:c r="Q58" s="82" t="str">
        <x:v>Review Facebook match before any deletion</x:v>
      </x:c>
    </x:row>
    <x:row r="59" ht="48" customHeight="1">
      <x:c r="A59" s="77" t="str">
        <x:v>v-061</x:v>
      </x:c>
      <x:c r="B59" s="77" t="str">
        <x:v>Vendido</x:v>
      </x:c>
      <x:c r="C59" s="78" t="n">
        <x:v>2016</x:v>
      </x:c>
      <x:c r="D59" s="77" t="str">
        <x:v>Toyota</x:v>
      </x:c>
      <x:c r="E59" s="77" t="str">
        <x:v>Tacoma</x:v>
      </x:c>
      <x:c r="F59" s="77" t="str">
        <x:v>Cabina 1/2</x:v>
      </x:c>
      <x:c r="G59" s="79" t="n">
        <x:v>67544</x:v>
      </x:c>
      <x:c r="H59" s="80" t="n">
        <x:v>17995</x:v>
      </x:c>
      <x:c r="I59" s="77" t="str">
        <x:v>No</x:v>
      </x:c>
      <x:c r="J59" s="77" t="str">
        <x:v>Yes</x:v>
      </x:c>
      <x:c r="K59" s="77" t="str">
        <x:v>None</x:v>
      </x:c>
      <x:c r="L59" s="81"/>
      <x:c r="M59" s="77" t="str"/>
      <x:c r="N59" s="82" t="str"/>
      <x:c r="O59" s="77" t="str"/>
      <x:c r="P59" s="77" t="str"/>
      <x:c r="Q59" s="82" t="str">
        <x:v>No matching Facebook post found</x:v>
      </x:c>
    </x:row>
    <x:row r="60" ht="48" customHeight="1">
      <x:c r="A60" s="77" t="str">
        <x:v>v-062</x:v>
      </x:c>
      <x:c r="B60" s="77" t="str">
        <x:v>Activo</x:v>
      </x:c>
      <x:c r="C60" s="78" t="n">
        <x:v>2020</x:v>
      </x:c>
      <x:c r="D60" s="77" t="str">
        <x:v>Toyota</x:v>
      </x:c>
      <x:c r="E60" s="77" t="str">
        <x:v>Corolla</x:v>
      </x:c>
      <x:c r="F60" s="77" t="str">
        <x:v>LE</x:v>
      </x:c>
      <x:c r="G60" s="79" t="n">
        <x:v>54201</x:v>
      </x:c>
      <x:c r="H60" s="80" t="n">
        <x:v>16995</x:v>
      </x:c>
      <x:c r="I60" s="77" t="str">
        <x:v>Yes</x:v>
      </x:c>
      <x:c r="J60" s="83" t="b">
        <x:v>1</x:v>
      </x:c>
      <x:c r="K60" s="77" t="str">
        <x:v>None</x:v>
      </x:c>
      <x:c r="L60" s="81"/>
      <x:c r="M60" s="77" t="str"/>
      <x:c r="N60" s="82" t="str"/>
      <x:c r="O60" s="77" t="str"/>
      <x:c r="P60" s="77" t="str"/>
      <x:c r="Q60" s="82" t="str">
        <x:v>Create Facebook post from Airtable caption v2</x:v>
      </x:c>
    </x:row>
    <x:row r="61" ht="48" customHeight="1">
      <x:c r="A61" s="77" t="str">
        <x:v>v-063</x:v>
      </x:c>
      <x:c r="B61" s="77" t="str">
        <x:v>Activo</x:v>
      </x:c>
      <x:c r="C61" s="78" t="n">
        <x:v>2022</x:v>
      </x:c>
      <x:c r="D61" s="77" t="str">
        <x:v>Honda</x:v>
      </x:c>
      <x:c r="E61" s="77" t="str">
        <x:v>Passport</x:v>
      </x:c>
      <x:c r="F61" s="77" t="str">
        <x:v>EX-L</x:v>
      </x:c>
      <x:c r="G61" s="79" t="n">
        <x:v>45045</x:v>
      </x:c>
      <x:c r="H61" s="80" t="n">
        <x:v>31995</x:v>
      </x:c>
      <x:c r="I61" s="77" t="str">
        <x:v>Yes</x:v>
      </x:c>
      <x:c r="J61" s="83" t="b">
        <x:v>1</x:v>
      </x:c>
      <x:c r="K61" s="77" t="str">
        <x:v>None</x:v>
      </x:c>
      <x:c r="L61" s="81"/>
      <x:c r="M61" s="77" t="str"/>
      <x:c r="N61" s="82" t="str"/>
      <x:c r="O61" s="77" t="str"/>
      <x:c r="P61" s="77" t="str"/>
      <x:c r="Q61" s="82" t="str">
        <x:v>Create Facebook post from Airtable caption v2</x:v>
      </x:c>
    </x:row>
    <x:row r="62" ht="48" customHeight="1">
      <x:c r="A62" s="77" t="str">
        <x:v>v-064</x:v>
      </x:c>
      <x:c r="B62" s="77" t="str">
        <x:v>Activo</x:v>
      </x:c>
      <x:c r="C62" s="78" t="n">
        <x:v>2022</x:v>
      </x:c>
      <x:c r="D62" s="77" t="str">
        <x:v>Chevrolet</x:v>
      </x:c>
      <x:c r="E62" s="77" t="str">
        <x:v>Camaro</x:v>
      </x:c>
      <x:c r="F62" s="77" t="str">
        <x:v>RS</x:v>
      </x:c>
      <x:c r="G62" s="79" t="n">
        <x:v>59591</x:v>
      </x:c>
      <x:c r="H62" s="80" t="n">
        <x:v>29995</x:v>
      </x:c>
      <x:c r="I62" s="77" t="str">
        <x:v>Yes</x:v>
      </x:c>
      <x:c r="J62" s="83" t="b">
        <x:v>1</x:v>
      </x:c>
      <x:c r="K62" s="77" t="str">
        <x:v>None</x:v>
      </x:c>
      <x:c r="L62" s="81"/>
      <x:c r="M62" s="77" t="str"/>
      <x:c r="N62" s="82" t="str"/>
      <x:c r="O62" s="77" t="str"/>
      <x:c r="P62" s="77" t="str"/>
      <x:c r="Q62" s="82" t="str">
        <x:v>Create Facebook post from Airtable caption v2</x:v>
      </x:c>
    </x:row>
    <x:row r="63" ht="48" customHeight="1">
      <x:c r="A63" s="77" t="str">
        <x:v>v-065</x:v>
      </x:c>
      <x:c r="B63" s="77" t="str">
        <x:v>Activo</x:v>
      </x:c>
      <x:c r="C63" s="78" t="n">
        <x:v>2022</x:v>
      </x:c>
      <x:c r="D63" s="77" t="str">
        <x:v>Mitsubishi</x:v>
      </x:c>
      <x:c r="E63" s="77" t="str">
        <x:v>Outlander</x:v>
      </x:c>
      <x:c r="F63" s="77" t="str">
        <x:v>Sport</x:v>
      </x:c>
      <x:c r="G63" s="79" t="n">
        <x:v>46146</x:v>
      </x:c>
      <x:c r="H63" s="80" t="n">
        <x:v>15995</x:v>
      </x:c>
      <x:c r="I63" s="77" t="str">
        <x:v>Yes</x:v>
      </x:c>
      <x:c r="J63" s="83" t="b">
        <x:v>1</x:v>
      </x:c>
      <x:c r="K63" s="77" t="str">
        <x:v>Strong</x:v>
      </x:c>
      <x:c r="L63" s="81" t="n">
        <x:v>46213</x:v>
      </x:c>
      <x:c r="M63" s="77" t="str">
        <x:v>https://www.facebook.com/content/insights/?content_id=UzpfSTEwMDA1NzM3OTg4MTE2MjoxNTIxODEyMzEzMDc0NzUwOjE1MjE4MTIzMTMwNzQ3NTA%3D&amp;entry_point=ProdashCometContentLibraryTable</x:v>
      </x:c>
      <x:c r="N63" s="82" t="str">
        <x:v>🚗 ¡Mitsubishi Outlander 2022 disponible! 🚗 ✅ Año 2022�✅ 45,000 millas�✅ Excelente condición�✅ Financiamiento disponible 💲 Precio: $15,995 📲 787-233-4800 No dejes pasar esta gran oportunidad! Contáctanos hoy mismo y llévate tu Mitsubishi Outlander 2022 al mejor precio.</x:v>
      </x:c>
      <x:c r="O63" s="77" t="str"/>
      <x:c r="P63" s="77" t="str"/>
      <x:c r="Q63" s="82" t="str">
        <x:v>Keep; update Airtable Facebook tracking/link</x:v>
      </x:c>
    </x:row>
    <x:row r="64" ht="48" customHeight="1">
      <x:c r="A64" s="77" t="str">
        <x:v>v-066</x:v>
      </x:c>
      <x:c r="B64" s="77" t="str">
        <x:v>Activo</x:v>
      </x:c>
      <x:c r="C64" s="78" t="n">
        <x:v>2022</x:v>
      </x:c>
      <x:c r="D64" s="77" t="str">
        <x:v>Mitsubishi</x:v>
      </x:c>
      <x:c r="E64" s="77" t="str">
        <x:v>Outlander</x:v>
      </x:c>
      <x:c r="F64" s="77" t="str">
        <x:v>Sport</x:v>
      </x:c>
      <x:c r="G64" s="79" t="n">
        <x:v>49823</x:v>
      </x:c>
      <x:c r="H64" s="80" t="n">
        <x:v>15995</x:v>
      </x:c>
      <x:c r="I64" s="77" t="str">
        <x:v>Yes</x:v>
      </x:c>
      <x:c r="J64" s="83" t="b">
        <x:v>1</x:v>
      </x:c>
      <x:c r="K64" s="77" t="str">
        <x:v>Probable</x:v>
      </x:c>
      <x:c r="L64" s="81" t="n">
        <x:v>46213</x:v>
      </x:c>
      <x:c r="M64" s="77" t="str">
        <x:v>https://www.facebook.com/content/insights/?content_id=UzpfSTEwMDA1NzM3OTg4MTE2MjoxNTIxODEyMzEzMDc0NzUwOjE1MjE4MTIzMTMwNzQ3NTA%3D&amp;entry_point=ProdashCometContentLibraryTable</x:v>
      </x:c>
      <x:c r="N64" s="82" t="str">
        <x:v>🚗 ¡Mitsubishi Outlander 2022 disponible! 🚗 ✅ Año 2022�✅ 45,000 millas�✅ Excelente condición�✅ Financiamiento disponible 💲 Precio: $15,995 📲 787-233-4800 No dejes pasar esta gran oportunidad! Contáctanos hoy mismo y llévate tu Mitsubishi Outlander 2022 al mejor precio.</x:v>
      </x:c>
      <x:c r="O64" s="77" t="str"/>
      <x:c r="P64" s="77" t="str"/>
      <x:c r="Q64" s="82" t="str">
        <x:v>Keep; update Airtable Facebook tracking/link</x:v>
      </x:c>
    </x:row>
    <x:row r="65" ht="48" customHeight="1">
      <x:c r="A65" s="77" t="str">
        <x:v>v-067</x:v>
      </x:c>
      <x:c r="B65" s="77" t="str">
        <x:v>Activo</x:v>
      </x:c>
      <x:c r="C65" s="78" t="n">
        <x:v>2019</x:v>
      </x:c>
      <x:c r="D65" s="77" t="str">
        <x:v>Jeep</x:v>
      </x:c>
      <x:c r="E65" s="77" t="str">
        <x:v>Grand Cherokee</x:v>
      </x:c>
      <x:c r="F65" s="77" t="str">
        <x:v>Altitude</x:v>
      </x:c>
      <x:c r="G65" s="79" t="n">
        <x:v>21540</x:v>
      </x:c>
      <x:c r="H65" s="80" t="n">
        <x:v>24995</x:v>
      </x:c>
      <x:c r="I65" s="77" t="str">
        <x:v>Yes</x:v>
      </x:c>
      <x:c r="J65" s="83" t="b">
        <x:v>1</x:v>
      </x:c>
      <x:c r="K65" s="77" t="str">
        <x:v>None</x:v>
      </x:c>
      <x:c r="L65" s="81"/>
      <x:c r="M65" s="77" t="str"/>
      <x:c r="N65" s="82" t="str"/>
      <x:c r="O65" s="77" t="str"/>
      <x:c r="P65" s="77" t="str"/>
      <x:c r="Q65" s="82" t="str">
        <x:v>Create Facebook post from Airtable caption v2</x:v>
      </x:c>
    </x:row>
    <x:row r="66" ht="48" customHeight="1">
      <x:c r="A66" s="77" t="str">
        <x:v>v-068</x:v>
      </x:c>
      <x:c r="B66" s="77" t="str">
        <x:v>Activo</x:v>
      </x:c>
      <x:c r="C66" s="78" t="n">
        <x:v>2019</x:v>
      </x:c>
      <x:c r="D66" s="77" t="str">
        <x:v>Toyota</x:v>
      </x:c>
      <x:c r="E66" s="77" t="str">
        <x:v>RAV4</x:v>
      </x:c>
      <x:c r="F66" s="77" t="str">
        <x:v>XLE</x:v>
      </x:c>
      <x:c r="G66" s="79" t="n">
        <x:v>65629</x:v>
      </x:c>
      <x:c r="H66" s="80" t="n">
        <x:v>23995</x:v>
      </x:c>
      <x:c r="I66" s="77" t="str">
        <x:v>Yes</x:v>
      </x:c>
      <x:c r="J66" s="83" t="b">
        <x:v>1</x:v>
      </x:c>
      <x:c r="K66" s="77" t="str">
        <x:v>Probable</x:v>
      </x:c>
      <x:c r="L66" s="81" t="n">
        <x:v>45927</x:v>
      </x:c>
      <x:c r="M66" s="77" t="str">
        <x:v>https://www.facebook.com/content/insights/?content_id=UzpfSTEwMDA1NzM3OTg4MTE2MjoxMjc4NjA0NTQ3Mzk1NTI5OjEyNzg2MDQ1NDczOTU1Mjk%3D&amp;entry_point=ProdashCometContentLibraryTable</x:v>
      </x:c>
      <x:c r="N66" s="82" t="str">
        <x:v>Toyota RAV4 XLE Premium ✔️Año 2019 ✔️68k Millas ✔️Servicio y Garantia 💲23,995 🏦FINANCIAMIENTO DISPONIBLE ✅CON O SIN EXPERIENCIA DE CRÉDITO ✅PRECIO COMPETITIVO 📲787-233-4800 CONTAMOS CON UNA GAMA AMPLIA DE 🚘, SOMOS TU DEALER DE CONFIANZA, VISÍTANOS. 📍Aguada, dealer Valle Auto</x:v>
      </x:c>
      <x:c r="O66" s="77" t="str"/>
      <x:c r="P66" s="77" t="str"/>
      <x:c r="Q66" s="82" t="str">
        <x:v>Keep; update Airtable Facebook tracking/link</x:v>
      </x:c>
    </x:row>
    <x:row r="67" ht="48" customHeight="1">
      <x:c r="A67" s="77" t="str">
        <x:v>v-069</x:v>
      </x:c>
      <x:c r="B67" s="77" t="str">
        <x:v>Activo</x:v>
      </x:c>
      <x:c r="C67" s="78" t="n">
        <x:v>2010</x:v>
      </x:c>
      <x:c r="D67" s="77" t="str">
        <x:v>Mitsubishi</x:v>
      </x:c>
      <x:c r="E67" s="77" t="str">
        <x:v>Lancer</x:v>
      </x:c>
      <x:c r="F67" s="77" t="str"/>
      <x:c r="G67" s="79" t="n">
        <x:v>114433</x:v>
      </x:c>
      <x:c r="H67" s="80" t="n">
        <x:v>4995</x:v>
      </x:c>
      <x:c r="I67" s="77" t="str">
        <x:v>Yes</x:v>
      </x:c>
      <x:c r="J67" s="83" t="b">
        <x:v>1</x:v>
      </x:c>
      <x:c r="K67" s="77" t="str">
        <x:v>None</x:v>
      </x:c>
      <x:c r="L67" s="81"/>
      <x:c r="M67" s="77" t="str"/>
      <x:c r="N67" s="82" t="str"/>
      <x:c r="O67" s="77" t="str"/>
      <x:c r="P67" s="77" t="str"/>
      <x:c r="Q67" s="82" t="str">
        <x:v>Create Facebook post from Airtable caption v2</x:v>
      </x:c>
    </x:row>
    <x:row r="68" ht="48" customHeight="1">
      <x:c r="A68" s="77" t="str">
        <x:v>v-070</x:v>
      </x:c>
      <x:c r="B68" s="77" t="str">
        <x:v>Activo</x:v>
      </x:c>
      <x:c r="C68" s="78" t="n">
        <x:v>2022</x:v>
      </x:c>
      <x:c r="D68" s="77" t="str">
        <x:v>Toyota</x:v>
      </x:c>
      <x:c r="E68" s="77" t="str">
        <x:v>RAV4 Hybrid</x:v>
      </x:c>
      <x:c r="F68" s="77" t="str">
        <x:v>XSE</x:v>
      </x:c>
      <x:c r="G68" s="79" t="n">
        <x:v>45737</x:v>
      </x:c>
      <x:c r="H68" s="80" t="n">
        <x:v>29995</x:v>
      </x:c>
      <x:c r="I68" s="77" t="str">
        <x:v>Yes</x:v>
      </x:c>
      <x:c r="J68" s="83" t="b">
        <x:v>1</x:v>
      </x:c>
      <x:c r="K68" s="77" t="str">
        <x:v>Probable</x:v>
      </x:c>
      <x:c r="L68" s="81" t="n">
        <x:v>46112</x:v>
      </x:c>
      <x:c r="M68" s="77" t="str">
        <x:v>https://www.facebook.com/content/insights/?content_id=UzpfSTEwMDA1NzM3OTg4MTE2MjoxNDMwODYzODM1NTAyOTMyOjE0MzA4NjM4MzU1MDI5MzI%3D&amp;entry_point=ProdashCometContentLibraryTable</x:v>
      </x:c>
      <x:c r="N68" s="82" t="str">
        <x:v>🚗 Toyota RAV4 XLE 2022 – ¡Lista para la aventura! ✨ Comodidad, seguridad y economía en un solo SUV 🔹 Motor 2.5L 4 cilindros 🔹 Transmisión automática 🔹 Consumo eficiente￼ 🔹 Pantalla táctil con Apple CarPlay &amp; Android Auto 🔹 Cámara de reversa + sensores de seguridad 💲29,995 📲787-233-4800</x:v>
      </x:c>
      <x:c r="O68" s="77" t="str"/>
      <x:c r="P68" s="77" t="str"/>
      <x:c r="Q68" s="82" t="str">
        <x:v>Keep; update Airtable Facebook tracking/link</x:v>
      </x:c>
    </x:row>
    <x:row r="69" ht="48" customHeight="1">
      <x:c r="A69" s="77" t="str">
        <x:v>v-071</x:v>
      </x:c>
      <x:c r="B69" s="77" t="str">
        <x:v>Activo</x:v>
      </x:c>
      <x:c r="C69" s="78" t="n">
        <x:v>2018</x:v>
      </x:c>
      <x:c r="D69" s="77" t="str">
        <x:v>Kia</x:v>
      </x:c>
      <x:c r="E69" s="77" t="str">
        <x:v>Forte</x:v>
      </x:c>
      <x:c r="F69" s="77" t="str"/>
      <x:c r="G69" s="79" t="n">
        <x:v>81078</x:v>
      </x:c>
      <x:c r="H69" s="80" t="n">
        <x:v>7995</x:v>
      </x:c>
      <x:c r="I69" s="77" t="str">
        <x:v>Yes</x:v>
      </x:c>
      <x:c r="J69" s="83" t="b">
        <x:v>1</x:v>
      </x:c>
      <x:c r="K69" s="77" t="str">
        <x:v>None</x:v>
      </x:c>
      <x:c r="L69" s="81"/>
      <x:c r="M69" s="77" t="str"/>
      <x:c r="N69" s="82" t="str"/>
      <x:c r="O69" s="77" t="str"/>
      <x:c r="P69" s="77" t="str"/>
      <x:c r="Q69" s="82" t="str">
        <x:v>Create Facebook post from Airtable caption v2</x:v>
      </x:c>
    </x:row>
    <x:row r="70" ht="48" customHeight="1">
      <x:c r="A70" s="77" t="str">
        <x:v>v-072</x:v>
      </x:c>
      <x:c r="B70" s="77" t="str">
        <x:v>Borrador</x:v>
      </x:c>
      <x:c r="C70" s="78" t="n">
        <x:v>2015</x:v>
      </x:c>
      <x:c r="D70" s="77" t="str">
        <x:v>Hyundai</x:v>
      </x:c>
      <x:c r="E70" s="77" t="str">
        <x:v>Tucson</x:v>
      </x:c>
      <x:c r="F70" s="77" t="str">
        <x:v>GLS</x:v>
      </x:c>
      <x:c r="G70" s="79"/>
      <x:c r="H70" s="80"/>
      <x:c r="I70" s="77" t="str">
        <x:v>No</x:v>
      </x:c>
      <x:c r="J70" s="77" t="str">
        <x:v>Yes</x:v>
      </x:c>
      <x:c r="K70" s="77" t="str">
        <x:v>None</x:v>
      </x:c>
      <x:c r="L70" s="81"/>
      <x:c r="M70" s="77" t="str"/>
      <x:c r="N70" s="82" t="str"/>
      <x:c r="O70" s="77" t="str"/>
      <x:c r="P70" s="77" t="str"/>
      <x:c r="Q70" s="82" t="str">
        <x:v>Keep off website and Facebook until Active</x:v>
      </x:c>
    </x:row>
    <x:row r="71" ht="48" customHeight="1">
      <x:c r="A71" s="77" t="str">
        <x:v>v-073</x:v>
      </x:c>
      <x:c r="B71" s="77" t="str">
        <x:v>Borrador</x:v>
      </x:c>
      <x:c r="C71" s="78" t="n">
        <x:v>2021</x:v>
      </x:c>
      <x:c r="D71" s="77" t="str">
        <x:v>Kia</x:v>
      </x:c>
      <x:c r="E71" s="77" t="str">
        <x:v>Seltos</x:v>
      </x:c>
      <x:c r="F71" s="77" t="str">
        <x:v>LX</x:v>
      </x:c>
      <x:c r="G71" s="79"/>
      <x:c r="H71" s="80"/>
      <x:c r="I71" s="77" t="str">
        <x:v>No</x:v>
      </x:c>
      <x:c r="J71" s="77" t="str">
        <x:v>Yes</x:v>
      </x:c>
      <x:c r="K71" s="77" t="str">
        <x:v>Ambiguous</x:v>
      </x:c>
      <x:c r="L71" s="81" t="n">
        <x:v>45767</x:v>
      </x:c>
      <x:c r="M71" s="77" t="str">
        <x:v>https://www.facebook.com/content/insights/?content_id=UzpfSTEwMDA1NzM3OTg4MTE2MjoxMTU1NDEyMTQzMDQ4MTA0OjExNTU0MTIxNDMwNDgxMDQ%3D&amp;entry_point=ProdashCometContentLibraryTable</x:v>
      </x:c>
      <x:c r="N71" s="82" t="str">
        <x:v>KIA SELTOS ✔️AÑO 2021 ✔️47K MILLAS ✔️SERVICIO Y GARANTÍA 💲16,995 🏦FINANCIAMIENTO DISPONIBLE ✅CON O SIN EXPERIENCIA DE CRÉDITO ✅PRECIO COMPETITIVO 📲787-233-4800 CONTAMOS CON UNA GAMA AMPLIA DE 🚘, SOMOS TU DEALER DE CONFIANZA, VISÍTANOS.</x:v>
      </x:c>
      <x:c r="O71" s="77" t="str"/>
      <x:c r="P71" s="77" t="str"/>
      <x:c r="Q71" s="82" t="str">
        <x:v>Manual review; possible existing Facebook post</x:v>
      </x:c>
    </x:row>
    <x:row r="72" ht="48" customHeight="1">
      <x:c r="A72" s="77" t="str">
        <x:v>v-076</x:v>
      </x:c>
      <x:c r="B72" s="77" t="str">
        <x:v>Borrador</x:v>
      </x:c>
      <x:c r="C72" s="78" t="n">
        <x:v>2022</x:v>
      </x:c>
      <x:c r="D72" s="77" t="str">
        <x:v>Nissan</x:v>
      </x:c>
      <x:c r="E72" s="77" t="str">
        <x:v>Frontier</x:v>
      </x:c>
      <x:c r="F72" s="77" t="str">
        <x:v>Crew Cab</x:v>
      </x:c>
      <x:c r="G72" s="79"/>
      <x:c r="H72" s="80"/>
      <x:c r="I72" s="77" t="str">
        <x:v>No</x:v>
      </x:c>
      <x:c r="J72" s="77" t="str">
        <x:v>Yes</x:v>
      </x:c>
      <x:c r="K72" s="77" t="str">
        <x:v>Ambiguous</x:v>
      </x:c>
      <x:c r="L72" s="81" t="n">
        <x:v>46167</x:v>
      </x:c>
      <x:c r="M72" s="77" t="str">
        <x:v>https://www.facebook.com/content/insights/?content_id=UzpfSTEwMDA1NzM3OTg4MTE2MjoxNDgwNTI3MTMzODY5OTM1OjE0ODA1MjcxMzM4Njk5MzU%3D&amp;entry_point=ProdashCometContentLibraryTable</x:v>
      </x:c>
      <x:c r="N72" s="82" t="str">
        <x:v>Nissan Frontier SV 📅 Año 2022 • 54K millas 💲27,995 💰 Financiamiento disponible 📲 787-233-4800 ✅ Excelente condición ✅ Los mejores precios en un solo lugar ✅ ¡Variedad de vehículos disponibles!</x:v>
      </x:c>
      <x:c r="O72" s="77" t="str"/>
      <x:c r="P72" s="77" t="str"/>
      <x:c r="Q72" s="82" t="str">
        <x:v>Manual review; possible existing Facebook post</x:v>
      </x:c>
    </x:row>
  </x:sheetData>
  <x:conditionalFormatting sqref="B2:B72">
    <x:cfRule type="containsText" dxfId="0" priority="1" operator="containsText" text="Activo"/>
    <x:cfRule type="containsText" dxfId="1" priority="2" operator="containsText" text="Vendido"/>
    <x:cfRule type="containsText" dxfId="2" priority="3" operator="containsText" text="Borrador"/>
  </x:conditionalFormatting>
  <x:conditionalFormatting sqref="K2:K72">
    <x:cfRule type="containsText" dxfId="3" priority="4" operator="containsText" text="Strong"/>
    <x:cfRule type="containsText" dxfId="4" priority="5" operator="containsText" text="Ambiguous"/>
    <x:cfRule type="containsText" dxfId="5" priority="6" operator="containsText" text="None"/>
  </x:conditionalFormatting>
  <x:pageMargins left="0.7" right="0.7" top="0.75" bottom="0.75" header="0.3" footer="0.3"/>
  <x:tableParts count="1">
    <x:tablePart xmlns:r="http://schemas.openxmlformats.org/officeDocument/2006/relationships" r:id="Raff7a1dddf2147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5" hidden="0" customWidth="1"/>
    <x:col min="3" max="3" width="35" hidden="0" customWidth="1"/>
    <x:col min="4" max="4" width="38" hidden="0" customWidth="1"/>
  </x:cols>
  <x:sheetData>
    <x:row r="1">
      <x:c r="A1" s="84" t="str">
        <x:v>Facebook post date</x:v>
      </x:c>
      <x:c r="B1" s="84" t="str">
        <x:v>Facebook vehicle caption</x:v>
      </x:c>
      <x:c r="C1" s="84" t="str">
        <x:v>Facebook post URL</x:v>
      </x:c>
      <x:c r="D1" s="84" t="str">
        <x:v>Recommended action</x:v>
      </x:c>
    </x:row>
    <x:row r="2" ht="48" customHeight="1">
      <x:c r="A2" s="81" t="n">
        <x:v>46230</x:v>
      </x:c>
      <x:c r="B2" s="82" t="str">
        <x:v>Toyota Tacoma 2007 ✔️ 223,000 millas ✔️ Excelente opción para trabajo o uso diario ✔️ Detalle de pintura 💲Precio: $11,995 📲 787-233-4800 ¡Aprovecha esta oportunidad! Contáctanos hoy para más información o para coordinar tu prueba de manejo.</x:v>
      </x:c>
      <x:c r="C2" s="77" t="str">
        <x:v>https://www.facebook.com/content/insights/?content_id=UzpfSTEwMDA1NzM3OTg4MTE2MjoxNTM1OTUxNjk0OTk0MTQ1OjE1MzU5NTE2OTQ5OTQxNDU%3D&amp;entry_point=ProdashCometContentLibraryTable</x:v>
      </x:c>
      <x:c r="D2" s="85" t="str">
        <x:v>Delete candidate — no exact Airtable year/make/model match</x:v>
      </x:c>
    </x:row>
    <x:row r="3" ht="48" customHeight="1">
      <x:c r="A3" s="81" t="n">
        <x:v>46226</x:v>
      </x:c>
      <x:c r="B3" s="82" t="str">
        <x:v>Toyota Corolla LE 2024 ✨ ✅ Solo 19,000 millas ✅ Excelente condición ✅Sunroof ✅ Financiamiento disponible 💲 Precio: $23,995 📲 787-233-4800 ¡No dejes pasar la oportunidad de llevarte un Toyota Corolla 2024 con poco millaje a un excelente precio! Contáctanos hoy mismo para más información o para coordinar tu prueba de manejo.</x:v>
      </x:c>
      <x:c r="C3" s="77" t="str">
        <x:v>https://www.facebook.com/content/insights/?content_id=UzpfSTEwMDA1NzM3OTg4MTE2MjoxNTMyMzkxMzQyMDE2ODQ3OjE1MzIzOTEzNDIwMTY4NDc%3D&amp;entry_point=ProdashCometContentLibraryTable</x:v>
      </x:c>
      <x:c r="D3" s="85" t="str">
        <x:v>Delete candidate — no exact Airtable year/make/model match</x:v>
      </x:c>
    </x:row>
    <x:row r="4" ht="48" customHeight="1">
      <x:c r="A4" s="81" t="n">
        <x:v>46209</x:v>
      </x:c>
      <x:c r="B4" s="82" t="str">
        <x:v>🚗 ¡Nissan Versa 2021 disponible! 🚗 ✅ Año 2021�✅ Solo 44,000 millas�✅ Excelente condición�✅ Financiamiento disponible 💲 Precio: $10,995 📲 Para más información o para coordinar una cita, llámanos o escríbenos al 787-233-4800. ¡No dejes pasar esta excelente oportunidad!</x:v>
      </x:c>
      <x:c r="C4" s="77" t="str">
        <x:v>https://www.facebook.com/content/insights/?content_id=UzpfSTEwMDA1NzM3OTg4MTE2MjoxNTE4MzMyMjQ2NzU2MDkwOjE1MTgzMzIyNDY3NTYwOTA%3D&amp;entry_point=ProdashCometContentLibraryTable</x:v>
      </x:c>
      <x:c r="D4" s="85" t="str">
        <x:v>Delete candidate — no exact Airtable year/make/model match</x:v>
      </x:c>
    </x:row>
    <x:row r="5" ht="48" customHeight="1">
      <x:c r="A5" s="81" t="n">
        <x:v>46204</x:v>
      </x:c>
      <x:c r="B5" s="82" t="str">
        <x:v>Mitsubishi Eclipse Cross 2024 ✅ Solo 27,000 millas ✅ Excelente condición ✅ Diseño moderno y cómodo 💲 Precio: $19,995 📲 787-233-4800 ¡Aprovecha esta gran oportunidad! Los mejores precios en un solo lugar. 🚘🔥</x:v>
      </x:c>
      <x:c r="C5" s="77" t="str">
        <x:v>https://www.facebook.com/content/insights/?content_id=UzpfSTEwMDA1NzM3OTg4MTE2MjoxNTEzNzgwNzQwNTQ0NTc0OjE1MTM3ODA3NDA1NDQ1NzQ%3D&amp;entry_point=ProdashCometContentLibraryTable</x:v>
      </x:c>
      <x:c r="D5" s="85" t="str">
        <x:v>Delete candidate — no exact Airtable year/make/model match</x:v>
      </x:c>
    </x:row>
    <x:row r="6" ht="48" customHeight="1">
      <x:c r="A6" s="81" t="n">
        <x:v>46164</x:v>
      </x:c>
      <x:c r="B6" s="82" t="str">
        <x:v>🚗 Promoción Especial 🚗 Toyota RAV4 XLE Año 2021 • 65K millas 💰 Precio: $25,995 📲 787-233-4800 🔥 Excelente condición 🔥 Espaciosa, cómoda y económica 🔥 Ideal para familia o uso diario 🔥 Financiamiento disponible 🔥65,000 millas ✅ ¡Aprovecha uno de los mejores precios del mercado para una RAV4 XLE 2021!</x:v>
      </x:c>
      <x:c r="C6" s="77" t="str">
        <x:v>https://www.facebook.com/content/insights/?content_id=UzpfSTEwMDA1NzM3OTg4MTE2MjoxNDc3ODUwMjQ3NDcwOTU3OjE0Nzc4NTAyNDc0NzA5NTc%3D&amp;entry_point=ProdashCometContentLibraryTable</x:v>
      </x:c>
      <x:c r="D6" s="85" t="str">
        <x:v>Delete candidate — no exact Airtable year/make/model match</x:v>
      </x:c>
    </x:row>
    <x:row r="7" ht="48" customHeight="1">
      <x:c r="A7" s="81" t="n">
        <x:v>46160</x:v>
      </x:c>
      <x:c r="B7" s="82" t="str">
        <x:v>🚗 Honda HR-V 2021 ✨ Sunroof 📍91K millas 💰 Precio: $17,995 Espaciosa, cómoda y económica en gasolina. Ideal para la familia o para el diario con el estilo y confiabilidad de Honda HR-V. 📲 787-233-4800 🔥 ¡Los mejores precios y financiamiento disponible! El modelo 2021 ofrece motor 1.8L excelente consumo de combustible</x:v>
      </x:c>
      <x:c r="C7" s="77" t="str">
        <x:v>https://www.facebook.com/content/insights/?content_id=UzpfSTEwMDA1NzM3OTg4MTE2MjoxNDc0Mzc2Nzk3ODE4MzAyOjE0NzQzNzY3OTc4MTgzMDI%3D&amp;entry_point=ProdashCometContentLibraryTable</x:v>
      </x:c>
      <x:c r="D7" s="85" t="str">
        <x:v>Delete candidate — no exact Airtable year/make/model match</x:v>
      </x:c>
    </x:row>
    <x:row r="8" ht="48" customHeight="1">
      <x:c r="A8" s="81" t="n">
        <x:v>46158</x:v>
      </x:c>
      <x:c r="B8" s="82" t="str">
        <x:v>🔥 ¡Oferta que no puedes dejar pasar! 🔥 🚘 Hyundai Accent 📅 Año 2021 🛣️ 42K millas $11,995 📲 787-223-4800 ✨ Excelentes ofertas y gran variedad de autos disponibles. 💳 ¡Financiamiento disponible! Ven y encuentra el vehículo ideal para ti.</x:v>
      </x:c>
      <x:c r="C8" s="77" t="str">
        <x:v>https://www.facebook.com/content/insights/?content_id=UzpfSTEwMDA1NzM3OTg4MTE2MjoxNDcyMzE1Mzc0NjkxMTExOjE0NzIzMTUzNzQ2OTExMTE%3D&amp;entry_point=ProdashCometContentLibraryTable</x:v>
      </x:c>
      <x:c r="D8" s="85" t="str">
        <x:v>Delete candidate — no exact Airtable year/make/model match</x:v>
      </x:c>
    </x:row>
    <x:row r="9" ht="48" customHeight="1">
      <x:c r="A9" s="81" t="n">
        <x:v>46139</x:v>
      </x:c>
      <x:c r="B9" s="82" t="str">
        <x:v>🚐 ¡OFERTA ESPECIAL! Ford Transit 2023 🚐 ✔️ Solo 7,000 millas (¡prácticamente nueva!) ✔️ Motor 4 cilindros – económica y eficiente ✔️ Amplio espacio de carga para negocio o uso comercial ✔️ Lista para trabajar desde el primer día 💼 Perfecta para: • Delivery • Construcción • Negocios móviles • Transporte de mercancía 📲787-233-4800 💲28,995</x:v>
      </x:c>
      <x:c r="C9" s="77" t="str">
        <x:v>https://www.facebook.com/content/insights/?content_id=UzpfSTEwMDA1NzM3OTg4MTE2MjoxNDU1Mzk2MjA2MzgzMDI4OjE0NTUzOTYyMDYzODMwMjg%3D&amp;entry_point=ProdashCometContentLibraryTable</x:v>
      </x:c>
      <x:c r="D9" s="85" t="str">
        <x:v>Delete candidate — no exact Airtable year/make/model match</x:v>
      </x:c>
    </x:row>
    <x:row r="10" ht="48" customHeight="1">
      <x:c r="A10" s="81" t="n">
        <x:v>46118</x:v>
      </x:c>
      <x:c r="B10" s="82" t="str">
        <x:v>⸻ 🚨 ¡OFERTA ESPECIAL! Nissan Frontier 2015 🚨 💪 Pick-up fuerte, confiable y lista para trabajar. 🔥 Ideal para construcción o uso diario ✔️Año 2015 ✔️206K millas, 📲787-233-4800 💲9,995 📍Aguada</x:v>
      </x:c>
      <x:c r="C10" s="77" t="str">
        <x:v>https://www.facebook.com/content/insights/?content_id=UzpfSTEwMDA1NzM3OTg4MTE2MjoxNDM2Njg1MjYxNTg3NDU2OjE0MzY2ODUyNjE1ODc0NTY%3D&amp;entry_point=ProdashCometContentLibraryTable</x:v>
      </x:c>
      <x:c r="D10" s="85" t="str">
        <x:v>Delete candidate — no exact Airtable year/make/model match</x:v>
      </x:c>
    </x:row>
    <x:row r="11" ht="48" customHeight="1">
      <x:c r="A11" s="81" t="n">
        <x:v>46112</x:v>
      </x:c>
      <x:c r="B11" s="82" t="str">
        <x:v>Hyundai Tucson ✔️Año 2018 ✔️66k millas, 📲787-233-4800 🏦Financiamiento Disponible 💲13,995</x:v>
      </x:c>
      <x:c r="C11" s="77" t="str">
        <x:v>https://www.facebook.com/content/insights/?content_id=UzpfSTEwMDA1NzM3OTg4MTE2MjoxNDMxMDk3ODI4ODEyODY2OjE0MzEwOTc4Mjg4MTI4NjY%3D&amp;entry_point=ProdashCometContentLibraryTable</x:v>
      </x:c>
      <x:c r="D11" s="85" t="str">
        <x:v>Delete candidate — no exact Airtable year/make/model match</x:v>
      </x:c>
    </x:row>
    <x:row r="12" ht="48" customHeight="1">
      <x:c r="A12" s="81" t="n">
        <x:v>46110</x:v>
      </x:c>
      <x:c r="B12" s="82" t="str">
        <x:v>Toyota Tacoma TRD Sport ✔️Año 2020 ✔️106k millas ✔️Sunroof 💲$34,995 🏦FINANCIAMIENTO DISPONIBLE ✅PRECIO COMPETITIVO 📲787-233-4800 CONTAMOS CON UNA GAMA AMPLIA DE 🚘, SOMOS TU DEALER DE CONFIANZA, VISÍTANOS. 📍Aguada, dealer Valle Auto</x:v>
      </x:c>
      <x:c r="C12" s="77" t="str">
        <x:v>https://www.facebook.com/content/insights/?content_id=UzpfSTEwMDA1NzM3OTg4MTE2MjoxNDI5NDA4Njk4OTgxNzc5OjE0Mjk0MDg2OTg5ODE3Nzk%3D&amp;entry_point=ProdashCometContentLibraryTable</x:v>
      </x:c>
      <x:c r="D12" s="85" t="str">
        <x:v>Delete candidate — no exact Airtable year/make/model match</x:v>
      </x:c>
    </x:row>
    <x:row r="13" ht="48" customHeight="1">
      <x:c r="A13" s="81" t="n">
        <x:v>46088</x:v>
      </x:c>
      <x:c r="B13" s="82" t="str">
        <x:v>Hyundai Tucson ✔️Año 2021 ✔️54k millas, 💲18,995 🏦FINANCIAMIENTO DISPONIBLE ✅PRECIO COMPETITIVO 📲787-233-4800 CONTAMOS CON UNA GAMA AMPLIA DE 🚘, SOMOS TU DEALER DE CONFIANZA, VISÍTANOS. 📍Aguada, dealer Valle Auto</x:v>
      </x:c>
      <x:c r="C13" s="77" t="str">
        <x:v>https://www.facebook.com/content/insights/?content_id=UzpfSTEwMDA1NzM3OTg4MTE2MjoxNDEwMDQ3MjIwOTE3OTI3OjE0MTAwNDcyMjA5MTc5Mjc%3D&amp;entry_point=ProdashCometContentLibraryTable</x:v>
      </x:c>
      <x:c r="D13" s="85" t="str">
        <x:v>Delete candidate — no exact Airtable year/make/model match</x:v>
      </x:c>
    </x:row>
    <x:row r="14" ht="48" customHeight="1">
      <x:c r="A14" s="81" t="n">
        <x:v>46088</x:v>
      </x:c>
      <x:c r="B14" s="82" t="str">
        <x:v>🚨 RAM 1500 Classic 2022 – Potencia y comodidad 🚨 ✔️Año 2022 ✔️V6 ✔️40k millas ✔️Financiamiento Disponible 💲34,995 📲787-233-4800 📍Aguada</x:v>
      </x:c>
      <x:c r="C14" s="77" t="str">
        <x:v>https://www.facebook.com/content/insights/?content_id=UzpfSTEwMDA1NzM3OTg4MTE2MjoxNDA5OTUzMTI0MjYwNjcwOjE0MDk5NTMxMjQyNjA2NzA%3D&amp;entry_point=ProdashCometContentLibraryTable</x:v>
      </x:c>
      <x:c r="D14" s="85" t="str">
        <x:v>Delete candidate — no exact Airtable year/make/model match</x:v>
      </x:c>
    </x:row>
    <x:row r="15" ht="48" customHeight="1">
      <x:c r="A15" s="81" t="n">
        <x:v>46083</x:v>
      </x:c>
      <x:c r="B15" s="82" t="str">
        <x:v>Toyota Highlander LE ✔️Año 2015 ✔️244k millas ✔️Tres filas de asientos $13,995 📲787-233-4800 📍Aguada</x:v>
      </x:c>
      <x:c r="C15" s="77" t="str">
        <x:v>https://www.facebook.com/content/insights/?content_id=UzpfSTEwMDA1NzM3OTg4MTE2MjoxNDA1ODEzMDI0Njc0NjgwOjE0MDU4MTMwMjQ2NzQ2ODA%3D&amp;entry_point=ProdashCometContentLibraryTable</x:v>
      </x:c>
      <x:c r="D15" s="85" t="str">
        <x:v>Delete candidate — no exact Airtable year/make/model match</x:v>
      </x:c>
    </x:row>
    <x:row r="16" ht="48" customHeight="1">
      <x:c r="A16" s="81" t="n">
        <x:v>46081</x:v>
      </x:c>
      <x:c r="B16" s="82" t="str">
        <x:v>🚗 Mitsubishi Outlander Sport 2025 ✔️SUV versátil ✔️tecnología moderna y diseño audaz ✔️Conectividad Apple CarPlay/Android Auto y cámara de seguridad avanzada ✔️Financiamiento Disponible 💲23,995 📲787-233-4800</x:v>
      </x:c>
      <x:c r="C16" s="77" t="str">
        <x:v>https://www.facebook.com/content/insights/?content_id=UzpfSTEwMDA1NzM3OTg4MTE2MjoxNDA0Mzk0MjA0ODE2NTYyOjE0MDQzOTQyMDQ4MTY1NjI%3D&amp;entry_point=ProdashCometContentLibraryTable</x:v>
      </x:c>
      <x:c r="D16" s="85" t="str">
        <x:v>Delete candidate — no exact Airtable year/make/model match</x:v>
      </x:c>
    </x:row>
    <x:row r="17" ht="48" customHeight="1">
      <x:c r="A17" s="81" t="n">
        <x:v>46081</x:v>
      </x:c>
      <x:c r="B17" s="82" t="str">
        <x:v>🚗 Conduce a tu propio ritmo con el nuevo Kia Seltos 2022! ✔️Espacioso y moderno. ✔️Con tecnología, seguridad avanzada y diseño audaz, el Seltos 2022 transforma cada viaje en una aventura. ¡Descubre el Kia Seltos 2022! ✔️1.6L Turbo, AWD ✔ Diseño ✔ Pantalla táctil con conectividad ✔ Seguridad inteligente 💲17,995 El SUV que se adapta a tu vida. 📲787-233-4800</x:v>
      </x:c>
      <x:c r="C17" s="77" t="str">
        <x:v>https://www.facebook.com/content/insights/?content_id=UzpfSTEwMDA1NzM3OTg4MTE2MjoxNDA0MzgyMzk4MTUxMDc2OjE0MDQzODIzOTgxNTEwNzY%3D&amp;entry_point=ProdashCometContentLibraryTable</x:v>
      </x:c>
      <x:c r="D17" s="85" t="str">
        <x:v>Delete candidate — no exact Airtable year/make/model match</x:v>
      </x:c>
    </x:row>
    <x:row r="18" ht="48" customHeight="1">
      <x:c r="A18" s="81" t="n">
        <x:v>46081</x:v>
      </x:c>
      <x:c r="B18" s="82" t="str">
        <x:v>Nissan kicks SV ✔️Año 2021 ✔️61k millas 💲13,995 🏦FINANCIAMIENTO DISPONIBLE ✅PRECIO COMPETITIVO 📲787-233-4800 CONTAMOS CON UNA GAMA AMPLIA DE 🚘, SOMOS TU DEALER DE CONFIANZA, VISÍTANOS. 📍Aguada, dealer Valle Auto</x:v>
      </x:c>
      <x:c r="C18" s="77" t="str">
        <x:v>https://www.facebook.com/content/insights/?content_id=UzpfSTEwMDA1NzM3OTg4MTE2MjoxNDA0MzQwOTc0ODIxODg1OjE0MDQzNDA5NzQ4MjE4ODU%3D&amp;entry_point=ProdashCometContentLibraryTable</x:v>
      </x:c>
      <x:c r="D18" s="85" t="str">
        <x:v>Delete candidate — no exact Airtable year/make/model match</x:v>
      </x:c>
    </x:row>
    <x:row r="19" ht="48" customHeight="1">
      <x:c r="A19" s="81" t="n">
        <x:v>46077</x:v>
      </x:c>
      <x:c r="B19" s="82" t="str">
        <x:v>Toyota Tacoma ✔️Año 2020 ✔️87K millas ✔️4*4 $33,995 🏦FINANCIAMIENTO DISPONIBLE ✅PRECIO COMPETITIVO 📲787-233-4800 CONTAMOS CON UNA GAMA AMPLIA DE 🚘, SOMOS TU DEALER DE CONFIANZA, VISÍTANOS. 📍Aguada, dealer Valle Auto</x:v>
      </x:c>
      <x:c r="C19" s="77" t="str">
        <x:v>https://www.facebook.com/content/insights/?content_id=UzpfSTEwMDA1NzM3OTg4MTE2MjoxNDAwNjEzMDE1MTk0NjgxOjE0MDA2MTMwMTUxOTQ2ODE%3D&amp;entry_point=ProdashCometContentLibraryTable</x:v>
      </x:c>
      <x:c r="D19" s="85" t="str">
        <x:v>Delete candidate — no exact Airtable year/make/model match</x:v>
      </x:c>
    </x:row>
    <x:row r="20" ht="48" customHeight="1">
      <x:c r="A20" s="81" t="n">
        <x:v>46072</x:v>
      </x:c>
      <x:c r="B20" s="82" t="str">
        <x:v>Toyota CHR ✔️Año 2020 ✔️58k millas, 💲18,995 FINANCIAMIENTO DISPONIBLE ✅PRECIO COMPETITIVO 📲787-233-4800 CONTAMOS CON UNA GAMA AMPLIA DE 🚘, SOMOS TU DEALER DE CONFIANZA, VISÍTANOS. 📍Aguada, dealer Valle Auto</x:v>
      </x:c>
      <x:c r="C20" s="77" t="str">
        <x:v>https://www.facebook.com/content/insights/?content_id=UzpfSTEwMDA1NzM3OTg4MTE2MjoxMzk2NDM4MjY1NjEyMTU2OjEzOTY0MzgyNjU2MTIxNTY%3D&amp;entry_point=ProdashCometContentLibraryTable</x:v>
      </x:c>
      <x:c r="D20" s="85" t="str">
        <x:v>Delete candidate — no exact Airtable year/make/model match</x:v>
      </x:c>
    </x:row>
    <x:row r="21" ht="48" customHeight="1">
      <x:c r="A21" s="81" t="n">
        <x:v>46072</x:v>
      </x:c>
      <x:c r="B21" s="82" t="str">
        <x:v>Honda Civic SI ✔️Año 2018 ✔️transmisión manual, ✔️34k millas 💲21,995 FINANCIAMIENTO DISPONIBLE ✅PRECIO COMPETITIVO 📲787-233-4800 CONTAMOS CON UNA GAMA AMPLIA DE 🚘, SOMOS TU DEALER DE CONFIANZA, VISÍTANOS. 📍Aguada, dealer Valle Auto</x:v>
      </x:c>
      <x:c r="C21" s="77" t="str">
        <x:v>https://www.facebook.com/content/insights/?content_id=UzpfSTEwMDA1NzM3OTg4MTE2MjoxMzk2NDIxMjM4OTQ3MTkyOjEzOTY0MjEyMzg5NDcxOTI%3D&amp;entry_point=ProdashCometContentLibraryTable</x:v>
      </x:c>
      <x:c r="D21" s="85" t="str">
        <x:v>Delete candidate — no exact Airtable year/make/model match</x:v>
      </x:c>
    </x:row>
    <x:row r="22" ht="48" customHeight="1">
      <x:c r="A22" s="81" t="n">
        <x:v>46069</x:v>
      </x:c>
      <x:c r="B22" s="82" t="str">
        <x:v>Kia Rio ✔️Año 2022 ✔️63k millas 💲13,995 FINANCIAMIENTO DISPONIBLE ✅PRECIO COMPETITIVO 📲787-233-4800 CONTAMOS CON UNA GAMA AMPLIA DE 🚘, SOMOS TU DEALER DE CONFIANZA, VISÍTANOS. 📍Aguada, dealer Valle Auto</x:v>
      </x:c>
      <x:c r="C22" s="77" t="str">
        <x:v>https://www.facebook.com/content/insights/?content_id=UzpfSTEwMDA1NzM3OTg4MTE2MjoxMzkzODUwMzM1ODcwOTQ5OjEzOTM4NTAzMzU4NzA5NDk%3D&amp;entry_point=ProdashCometContentLibraryTable</x:v>
      </x:c>
      <x:c r="D22" s="85" t="str">
        <x:v>Delete candidate — no exact Airtable year/make/model match</x:v>
      </x:c>
    </x:row>
    <x:row r="23" ht="48" customHeight="1">
      <x:c r="A23" s="81" t="n">
        <x:v>46057</x:v>
      </x:c>
      <x:c r="B23" s="82" t="str">
        <x:v>Toyota Corolla SE ✔️Año 2024, ✔️25k millas, 💲23,995 FINANCIAMIENTO DISPONIBLE ✅PRECIO COMPETITIVO 📲787-233-4800 CONTAMOS CON UNA GAMA AMPLIA DE 🚘, SOMOS TU DEALER DE CONFIANZA, VISÍTANOS. 📍Aguada, dealer Valle Auto</x:v>
      </x:c>
      <x:c r="C23" s="77" t="str">
        <x:v>https://www.facebook.com/content/insights/?content_id=UzpfSTEwMDA1NzM3OTg4MTE2MjoxMzgyOTA0MDUwMjk4OTExOjEzODI5MDQwNTAyOTg5MTE%3D&amp;entry_point=ProdashCometContentLibraryTable</x:v>
      </x:c>
      <x:c r="D23" s="85" t="str">
        <x:v>Delete candidate — no exact Airtable year/make/model match</x:v>
      </x:c>
    </x:row>
    <x:row r="24" ht="48" customHeight="1">
      <x:c r="A24" s="81" t="n">
        <x:v>46052</x:v>
      </x:c>
      <x:c r="B24" s="82" t="str">
        <x:v>Toyota 4Runner TRD PRO ✔️Año 2018 ✔️4*4 ✔️74K millas 💲39,995 FINANCIAMIENTO DISPONIBLE ✅PRECIO COMPETITIVO 📲787-233-4800 CONTAMOS CON UNA GAMA AMPLIA DE 🚘, SOMOS TU DEALER DE CONFIANZA, VISÍTANOS. 📍Aguada, dealer Valle Auto</x:v>
      </x:c>
      <x:c r="C24" s="77" t="str">
        <x:v>https://www.facebook.com/content/insights/?content_id=UzpfSTEwMDA1NzM3OTg4MTE2MjoxMzc4NjIzMjc3MzkzNjU1OjEzNzg2MjMyNzczOTM2NTU%3D&amp;entry_point=ProdashCometContentLibraryTable</x:v>
      </x:c>
      <x:c r="D24" s="85" t="str">
        <x:v>Delete candidate — no exact Airtable year/make/model match</x:v>
      </x:c>
    </x:row>
    <x:row r="25" ht="48" customHeight="1">
      <x:c r="A25" s="81" t="n">
        <x:v>46050</x:v>
      </x:c>
      <x:c r="B25" s="82" t="str">
        <x:v>Toyota Camry LE ✔️Año 2023 ✔️21k millas 💲25,995 🏦FINANCIAMIENTO DISPONIBLE ✅PRECIO COMPETITIVO 📲787-233-4800 CONTAMOS CON UNA GAMA AMPLIA DE 🚘, SOMOS TU DEALER DE CONFIANZA, VISÍTANOS. 📍Aguada, dealer Valle Auto</x:v>
      </x:c>
      <x:c r="C25" s="77" t="str">
        <x:v>https://www.facebook.com/content/insights/?content_id=UzpfSTEwMDA1NzM3OTg4MTE2MjoxMzc3MTY3NTMwODcyNTYzOjEzNzcxNjc1MzA4NzI1NjM%3D&amp;entry_point=ProdashCometContentLibraryTable</x:v>
      </x:c>
      <x:c r="D25" s="85" t="str">
        <x:v>Delete candidate — no exact Airtable year/make/model match</x:v>
      </x:c>
    </x:row>
    <x:row r="26" ht="48" customHeight="1">
      <x:c r="A26" s="81" t="n">
        <x:v>46039</x:v>
      </x:c>
      <x:c r="B26" s="82" t="str">
        <x:v>Toyota Yaris ✔️Año 2017 ✔️89k millas 📲787-233-4800 💲8,995</x:v>
      </x:c>
      <x:c r="C26" s="77" t="str">
        <x:v>https://www.facebook.com/content/insights/?content_id=UzpfSTEwMDA1NzM3OTg4MTE2MjoxMzY3NzUzNTk1MTQ3MjkwOjEzNjc3NTM1OTUxNDcyOTA%3D&amp;entry_point=ProdashCometContentLibraryTable</x:v>
      </x:c>
      <x:c r="D26" s="85" t="str">
        <x:v>Delete candidate — no exact Airtable year/make/model match</x:v>
      </x:c>
    </x:row>
    <x:row r="27" ht="48" customHeight="1">
      <x:c r="A27" s="81" t="n">
        <x:v>46032</x:v>
      </x:c>
      <x:c r="B27" s="82" t="str">
        <x:v>Hyundai Kona ✔️Año 2023 ✔️35k millas, 💲17,995 🏦FINANCIAMIENTO DISPONIBLE ✅PRECIO COMPETITIVO 📲787-233-4800 CONTAMOS CON UNA GAMA AMPLIA DE 🚘, SOMOS TU DEALER DE CONFIANZA, VISÍTANOS. 📍Aguada, dealer Valle Auto</x:v>
      </x:c>
      <x:c r="C27" s="77" t="str">
        <x:v>https://www.facebook.com/content/insights/?content_id=UzpfSTEwMDA1NzM3OTg4MTE2MjoxMzYyNTk3OTgyMzI5NTE4OjEzNjI1OTc5ODIzMjk1MTg%3D&amp;entry_point=ProdashCometContentLibraryTable</x:v>
      </x:c>
      <x:c r="D27" s="85" t="str">
        <x:v>Delete candidate — no exact Airtable year/make/model match</x:v>
      </x:c>
    </x:row>
    <x:row r="28" ht="48" customHeight="1">
      <x:c r="A28" s="81" t="n">
        <x:v>46032</x:v>
      </x:c>
      <x:c r="B28" s="82" t="str">
        <x:v>Nissan Rogue Platinum ✔️Año 2022 ✔️24k millas, ✔️motor 1.5 turbo ✔️Panorámico 💲27,995 🏦FINANCIAMIENTO DISPONIBLE ✅PRECIO COMPETITIVO 📲787-233-4800 CONTAMOS CON UNA GAMA AMPLIA DE 🚘, SOMOS TU DEALER DE CONFIANZA, VISÍTANOS. 📍Aguada, dealer Valle Auto</x:v>
      </x:c>
      <x:c r="C28" s="77" t="str">
        <x:v>https://www.facebook.com/content/insights/?content_id=UzpfSTEwMDA1NzM3OTg4MTE2MjoxMzYyNTc5OTk4OTk3OTgzOjEzNjI1Nzk5OTg5OTc5ODM%3D&amp;entry_point=ProdashCometContentLibraryTable</x:v>
      </x:c>
      <x:c r="D28" s="85" t="str">
        <x:v>Delete candidate — no exact Airtable year/make/model match</x:v>
      </x:c>
    </x:row>
    <x:row r="29" ht="48" customHeight="1">
      <x:c r="A29" s="81" t="n">
        <x:v>46032</x:v>
      </x:c>
      <x:c r="B29" s="82" t="str">
        <x:v>Toyota Corolla LE ✔️Año 2024 ✔️20k millas, ✔️Sunroof 💲21,995 🏦FINANCIAMIENTO DISPONIBLE ✅PRECIO COMPETITIVO 📲787-233-4800 CONTAMOS CON UNA GAMA AMPLIA DE 🚘, SOMOS TU DEALER DE CONFIANZA, VISÍTANOS. 📍Aguada, dealer Valle Auto</x:v>
      </x:c>
      <x:c r="C29" s="77" t="str">
        <x:v>https://www.facebook.com/content/insights/?content_id=UzpfSTEwMDA1NzM3OTg4MTE2MjoxMzYyNTQ5MjQ1NjY3NzI1OjEzNjI1NDkyNDU2Njc3MjU%3D&amp;entry_point=ProdashCometContentLibraryTable</x:v>
      </x:c>
      <x:c r="D29" s="85" t="str">
        <x:v>Delete candidate — no exact Airtable year/make/model match</x:v>
      </x:c>
    </x:row>
    <x:row r="30" ht="48" customHeight="1">
      <x:c r="A30" s="81" t="n">
        <x:v>46025</x:v>
      </x:c>
      <x:c r="B30" s="82" t="str">
        <x:v>Jeep Wrangler ✔️Año 2017 ✔️81k millas, 📲787-233-4800 💲17,995 🏦FINANCIAMIENTO DISPONIBLE ✅PRECIO COMPETITIVO 📲787-233-4800 CONTAMOS CON UNA GAMA AMPLIA DE 🚘, SOMOS TU DEALER DE CONFIANZA, VISÍTANOS. 📍Aguada, dealer Valle Auto</x:v>
      </x:c>
      <x:c r="C30" s="77" t="str">
        <x:v>https://www.facebook.com/content/insights/?content_id=UzpfSTEwMDA1NzM3OTg4MTE2MjoxMzU3Mjc5ODA2MTk0NjY5OjEzNTcyNzk4MDYxOTQ2Njk%3D&amp;entry_point=ProdashCometContentLibraryTable</x:v>
      </x:c>
      <x:c r="D30" s="85" t="str">
        <x:v>Delete candidate — no exact Airtable year/make/model match</x:v>
      </x:c>
    </x:row>
    <x:row r="31" ht="48" customHeight="1">
      <x:c r="A31" s="81" t="n">
        <x:v>46018</x:v>
      </x:c>
      <x:c r="B31" s="82" t="str">
        <x:v>Nissan Frontier ✔️Año 2015 ✔️206K millas, 📲787-233-4800 💲10,995</x:v>
      </x:c>
      <x:c r="C31" s="77" t="str">
        <x:v>https://www.facebook.com/content/insights/?content_id=UzpfSTEwMDA1NzM3OTg4MTE2MjoxMzUxOTQ4NzUzMzk0NDQxOjEzNTE5NDg3NTMzOTQ0NDE%3D&amp;entry_point=ProdashCometContentLibraryTable</x:v>
      </x:c>
      <x:c r="D31" s="85" t="str">
        <x:v>Delete candidate — no exact Airtable year/make/model match</x:v>
      </x:c>
    </x:row>
    <x:row r="32" ht="48" customHeight="1">
      <x:c r="A32" s="81" t="n">
        <x:v>46011</x:v>
      </x:c>
      <x:c r="B32" s="82" t="str">
        <x:v>Kia Rio ✔️Año 2022 💲13,995 📲787-233-4800 🏦FINANCIAMIENTO DISPONIBLE ✅PRECIO COMPETITIVO 📲787-233-4800 CONTAMOS CON UNA GAMA AMPLIA DE 🚘, SOMOS TU DEALER DE CONFIANZA, VISÍTANOS. 📍Aguada, dealer Valle Auto</x:v>
      </x:c>
      <x:c r="C32" s="77" t="str">
        <x:v>https://www.facebook.com/content/insights/?content_id=UzpfSTEwMDA1NzM3OTg4MTE2MjoxMzQ2OTU0MjcwNTYwNTU2OjEzNDY5NTQyNzA1NjA1NTY%3D&amp;entry_point=ProdashCometContentLibraryTable</x:v>
      </x:c>
      <x:c r="D32" s="85" t="str">
        <x:v>Delete candidate — no exact Airtable year/make/model match</x:v>
      </x:c>
    </x:row>
    <x:row r="33" ht="48" customHeight="1">
      <x:c r="A33" s="81" t="n">
        <x:v>45996</x:v>
      </x:c>
      <x:c r="B33" s="82" t="str">
        <x:v>Toyota Tacoma ✔️Año 2020 ✔️87K millas ✔️4*4 💲34,995 🏦FINANCIAMIENTO DISPONIBLE ✅CON O SIN EXPERIENCIA DE CRÉDITO ✅PRECIO COMPETITIVO 📲787-233-4800 CONTAMOS CON UNA GAMA AMPLIA DE 🚘, SOMOS TU DEALER DE CONFIANZA, VISÍTANOS. 📍Aguada, dealer Valle Auto</x:v>
      </x:c>
      <x:c r="C33" s="77" t="str">
        <x:v>https://www.facebook.com/content/insights/?content_id=UzpfSTEwMDA1NzM3OTg4MTE2MjoxMzM1OTUzMzgxNjYwNjQ1OjEzMzU5NTMzODE2NjA2NDU%3D&amp;entry_point=ProdashCometContentLibraryTable</x:v>
      </x:c>
      <x:c r="D33" s="85" t="str">
        <x:v>Delete candidate — no exact Airtable year/make/model match</x:v>
      </x:c>
    </x:row>
    <x:row r="34" ht="48" customHeight="1">
      <x:c r="A34" s="81" t="n">
        <x:v>45969</x:v>
      </x:c>
      <x:c r="B34" s="82" t="str">
        <x:v>Kia Forte ✔️Año 2022 ✔️38k millas ✔️Servicio y Garantía 💲15,995 🏦FINANCIAMIENTO DISPONIBLE ✅CON O SIN EXPERIENCIA DE CRÉDITO ✅PRECIO COMPETITIVO 📲787-233-4800 CONTAMOS CON UNA GAMA AMPLIA DE 🚘, SOMOS TU DEALER DE CONFIANZA, VISÍTANOS. 📍Aguada, dealer Valle Auto</x:v>
      </x:c>
      <x:c r="C34" s="77" t="str">
        <x:v>https://www.facebook.com/content/insights/?content_id=UzpfSTEwMDA1NzM3OTg4MTE2MjoxMzE0OTIwMjAzNzYzOTYzOjEzMTQ5MjAyMDM3NjM5NjM%3D&amp;entry_point=ProdashCometContentLibraryTable</x:v>
      </x:c>
      <x:c r="D34" s="85" t="str">
        <x:v>Delete candidate — no exact Airtable year/make/model match</x:v>
      </x:c>
    </x:row>
    <x:row r="35" ht="48" customHeight="1">
      <x:c r="A35" s="81" t="n">
        <x:v>45959</x:v>
      </x:c>
      <x:c r="B35" s="82" t="str">
        <x:v>Jeep Renegade ✔️Año 2015 ✔️71K millas ✔️4*4 💲9,995 📲787-233-4800 CONTAMOS CON UNA GAMA AMPLIA DE 🚘, SOMOS TU DEALER DE CONFIANZA, VISÍTANOS. 📍Aguada, dealer Valle Auto</x:v>
      </x:c>
      <x:c r="C35" s="77" t="str">
        <x:v>https://www.facebook.com/content/insights/?content_id=UzpfSTEwMDA1NzM3OTg4MTE2MjoxMzA2NjA4NzY3OTI4NDQwOjEzMDY2MDg3Njc5Mjg0NDA%3D&amp;entry_point=ProdashCometContentLibraryTable</x:v>
      </x:c>
      <x:c r="D35" s="85" t="str">
        <x:v>Delete candidate — no exact Airtable year/make/model match</x:v>
      </x:c>
    </x:row>
    <x:row r="36" ht="48" customHeight="1">
      <x:c r="A36" s="81" t="n">
        <x:v>45959</x:v>
      </x:c>
      <x:c r="B36" s="82" t="str">
        <x:v>Toyota Tacoma TRD Sport ✔️Año 2021 ✔️46,K millas ✔️Servicio y Garantia 💲31,995 🏦FINANCIAMIENTO DISPONIBLE ✅CON O SIN EXPERIENCIA DE CRÉDITO ✅PRECIO COMPETITIVO 📲787-233-4800 CONTAMOS CON UNA GAMA AMPLIA DE 🚘, SOMOS TU DEALER DE CONFIANZA, VISÍTANOS. 📍Aguada, dealer Valle Auto</x:v>
      </x:c>
      <x:c r="C36" s="77" t="str">
        <x:v>https://www.facebook.com/content/insights/?content_id=UzpfSTEwMDA1NzM3OTg4MTE2MjoxMzA2NTY3MzUxMjY1OTE1OjEzMDY1NjczNTEyNjU5MTU%3D&amp;entry_point=ProdashCometContentLibraryTable</x:v>
      </x:c>
      <x:c r="D36" s="85" t="str">
        <x:v>Delete candidate — no exact Airtable year/make/model match</x:v>
      </x:c>
    </x:row>
    <x:row r="37" ht="48" customHeight="1">
      <x:c r="A37" s="81" t="n">
        <x:v>45947</x:v>
      </x:c>
      <x:c r="B37" s="82" t="str">
        <x:v>Toyota Tacoma TRD Sport ✔️Año 2022 ✔️40k millas ✔️Servicio y Garantia 💲36,995 🏦FINANCIAMIENTO DISPONIBLE ✅CON O SIN EXPERIENCIA DE CRÉDITO ✅PRECIO COMPETITIVO 📲787-233-4800 CONTAMOS CON UNA GAMA AMPLIA DE 🚘, SOMOS TU DEALER DE CONFIANZA, VISÍTANOS. 📍Aguada, dealer Valle Auto</x:v>
      </x:c>
      <x:c r="C37" s="77" t="str">
        <x:v>https://www.facebook.com/content/insights/?content_id=UzpfSTEwMDA1NzM3OTg4MTE2MjoxMjk2NDQ1NTEyMjc4MDk5OjEyOTY0NDU1MTIyNzgwOTk%3D&amp;entry_point=ProdashCometContentLibraryTable</x:v>
      </x:c>
      <x:c r="D37" s="85" t="str">
        <x:v>Delete candidate — no exact Airtable year/make/model match</x:v>
      </x:c>
    </x:row>
    <x:row r="38" ht="48" customHeight="1">
      <x:c r="A38" s="81" t="n">
        <x:v>45947</x:v>
      </x:c>
      <x:c r="B38" s="82" t="str">
        <x:v>Toyota GR ✔️Año 2023 ✔️15K millas ✔️transmisión Manual ✔️Servicio y Garantia $33,995 🏦FINANCIAMIENTO DISPONIBLE ✅CON O SIN EXPERIENCIA DE CRÉDITO ✅PRECIO COMPETITIVO 📲787-233-4800 CONTAMOS CON UNA GAMA AMPLIA DE 🚘, SOMOS TU DEALER DE CONFIANZA, VISÍTANOS. 📍Aguada, dealer Valle Auto</x:v>
      </x:c>
      <x:c r="C38" s="77" t="str">
        <x:v>https://www.facebook.com/content/insights/?content_id=UzpfSTEwMDA1NzM3OTg4MTE2MjoxMjk2MjI2MTg1NjMzMzY1OjEyOTYyMjYxODU2MzMzNjU%3D&amp;entry_point=ProdashCometContentLibraryTable</x:v>
      </x:c>
      <x:c r="D38" s="85" t="str">
        <x:v>Delete candidate — no exact Airtable year/make/model match</x:v>
      </x:c>
    </x:row>
    <x:row r="39" ht="48" customHeight="1">
      <x:c r="A39" s="81" t="n">
        <x:v>45941</x:v>
      </x:c>
      <x:c r="B39" s="82" t="str">
        <x:v>Nissan Frontier ✔️Año 2015 ✔️206K millas ✔️Excelentes Condiciones 💲11,995 📲787-233-4800</x:v>
      </x:c>
      <x:c r="C39" s="77" t="str">
        <x:v>https://www.facebook.com/content/insights/?content_id=UzpfSTEwMDA1NzM3OTg4MTE2MjoxMjkxMjU1OTgyNzk3MDUyOjEyOTEyNTU5ODI3OTcwNTI%3D&amp;entry_point=ProdashCometContentLibraryTable</x:v>
      </x:c>
      <x:c r="D39" s="85" t="str">
        <x:v>Delete candidate — no exact Airtable year/make/model match</x:v>
      </x:c>
    </x:row>
    <x:row r="40" ht="48" customHeight="1">
      <x:c r="A40" s="81" t="n">
        <x:v>45941</x:v>
      </x:c>
      <x:c r="B40" s="82" t="str">
        <x:v>Acura MDX Aspec ✔️Año 2022 ✔️24K millas ✔️Panorámico ✔️Servicio y Garantia 💲62,995 🏦FINANCIAMIENTO DISPONIBLE ✅CON O SIN EXPERIENCIA DE CRÉDITO ✅PRECIO COMPETITIVO 📲787-233-4800 CONTAMOS CON UNA GAMA AMPLIA DE 🚘, SOMOS TU DEALER DE CONFIANZA, VISÍTANOS. 📍Aguada, dealer Valle Auto</x:v>
      </x:c>
      <x:c r="C40" s="77" t="str">
        <x:v>https://www.facebook.com/content/insights/?content_id=UzpfSTEwMDA1NzM3OTg4MTE2MjoxMjkxMDM3ODQ5NDg1NTMyOjEyOTEwMzc4NDk0ODU1MzI%3D&amp;entry_point=ProdashCometContentLibraryTable</x:v>
      </x:c>
      <x:c r="D40" s="85" t="str">
        <x:v>Delete candidate — no exact Airtable year/make/model match</x:v>
      </x:c>
    </x:row>
    <x:row r="41" ht="48" customHeight="1">
      <x:c r="A41" s="81" t="n">
        <x:v>45941</x:v>
      </x:c>
      <x:c r="B41" s="82" t="str">
        <x:v>Toyota Tacoma TRD Sport ✔️Año 2020 ✔️106k millas ✔️Sunroof ✔️Servicio y Garantía 💲34,995 🏦FINANCIAMIENTO DISPONIBLE ✅CON O SIN EXPERIENCIA DE CRÉDITO ✅PRECIO COMPETITIVO 📲787-233-4800 CONTAMOS CON UNA GAMA AMPLIA DE 🚘, SOMOS TU DEALER DE CONFIANZA, VISÍTANOS. 📍Aguada, dealer Valle Auto</x:v>
      </x:c>
      <x:c r="C41" s="77" t="str">
        <x:v>https://www.facebook.com/content/insights/?content_id=UzpfSTEwMDA1NzM3OTg4MTE2MjoxMjkxMDIzNTI5NDg2OTY0OjEyOTEwMjM1Mjk0ODY5NjQ%3D&amp;entry_point=ProdashCometContentLibraryTable</x:v>
      </x:c>
      <x:c r="D41" s="85" t="str">
        <x:v>Delete candidate — no exact Airtable year/make/model match</x:v>
      </x:c>
    </x:row>
    <x:row r="42" ht="48" customHeight="1">
      <x:c r="A42" s="81" t="n">
        <x:v>45936</x:v>
      </x:c>
      <x:c r="B42" s="82" t="str">
        <x:v>Toyota Camry LE ✔️Año 2023 ✔️31K millas ✔️Servicio y Garantia 💲25,995 🏦FINANCIAMIENTO DISPONIBLE ✅CON O SIN EXPERIENCIA DE CRÉDITO ✅PRECIO COMPETITIVO 📲787-233-4800 CONTAMOS CON UNA GAMA AMPLIA DE 🚘, SOMOS TU DEALER DE CONFIANZA, VISÍTANOS. 📍Aguada, dealer Valle Auto</x:v>
      </x:c>
      <x:c r="C42" s="77" t="str">
        <x:v>https://www.facebook.com/content/insights/?content_id=UzpfSTEwMDA1NzM3OTg4MTE2MjoxMjg2NjEyOTgzMjYxMzUyOjEyODY2MTI5ODMyNjEzNTI%3D&amp;entry_point=ProdashCometContentLibraryTable</x:v>
      </x:c>
      <x:c r="D42" s="85" t="str">
        <x:v>Delete candidate — no exact Airtable year/make/model match</x:v>
      </x:c>
    </x:row>
    <x:row r="43" ht="48" customHeight="1">
      <x:c r="A43" s="81" t="n">
        <x:v>45933</x:v>
      </x:c>
      <x:c r="B43" s="82" t="str">
        <x:v>Kia Sportage SX ✔️Año 2023 ✔️32K millas ✔️Panorámica ✔️Servicio y Garantía 💲28,995 🏦FINANCIAMIENTO DISPONIBLE ✅CON O SIN EXPERIENCIA DE CRÉDITO ✅PRECIO COMPETITIVO 📲787-233-4800 CONTAMOS CON UNA GAMA AMPLIA DE 🚘, SOMOS TU DEALER DE CONFIANZA, VISÍTANOS. 📍Aguada, dealer Valle Auto</x:v>
      </x:c>
      <x:c r="C43" s="77" t="str">
        <x:v>https://www.facebook.com/content/insights/?content_id=UzpfSTEwMDA1NzM3OTg4MTE2MjoxMjgzODQzMjg2ODcxNjU1OjEyODM4NDMyODY4NzE2NTU%3D&amp;entry_point=ProdashCometContentLibraryTable</x:v>
      </x:c>
      <x:c r="D43" s="85" t="str">
        <x:v>Delete candidate — no exact Airtable year/make/model match</x:v>
      </x:c>
    </x:row>
    <x:row r="44" ht="48" customHeight="1">
      <x:c r="A44" s="81" t="n">
        <x:v>45920</x:v>
      </x:c>
      <x:c r="B44" s="82" t="str">
        <x:v>Toyota Tacoma ✔️Año 2015 ✔️161K millas ✔️Importado 💲14,985 📲787-233-4800</x:v>
      </x:c>
      <x:c r="C44" s="77" t="str">
        <x:v>https://www.facebook.com/content/insights/?content_id=UzpfSTEwMDA1NzM3OTg4MTE2MjoxMjcyNjM5OTU0NjU4NjU1OjEyNzI2Mzk5NTQ2NTg2NTU%3D&amp;entry_point=ProdashCometContentLibraryTable</x:v>
      </x:c>
      <x:c r="D44" s="85" t="str">
        <x:v>Delete candidate — no exact Airtable year/make/model match</x:v>
      </x:c>
    </x:row>
    <x:row r="45" ht="48" customHeight="1">
      <x:c r="A45" s="81" t="n">
        <x:v>45911</x:v>
      </x:c>
      <x:c r="B45" s="82" t="str">
        <x:v>HYUNDAI ELANTRA ✔️AÑO 2022 ✔️9K MILLAS ✔️Servicio y Garantia 💲15,995 🏦FINANCIAMIENTO DISPONIBLE ✅CON O SIN EXPERIENCIA DE CRÉDITO ✅PRECIO COMPETITIVO 📲787-233-4800 CONTAMOS CON UNA GAMA AMPLIA DE 🚘, SOMOS TU DEALER DE CONFIANZA, VISÍTANOS. 📍Aguada, dealer Valle Auto</x:v>
      </x:c>
      <x:c r="C45" s="77" t="str">
        <x:v>https://www.facebook.com/content/insights/?content_id=UzpfSTEwMDA1NzM3OTg4MTE2MjoxMjY0OTkyMTM1NDIzNDM3OjEyNjQ5OTIxMzU0MjM0Mzc%3D&amp;entry_point=ProdashCometContentLibraryTable</x:v>
      </x:c>
      <x:c r="D45" s="85" t="str">
        <x:v>Delete candidate — no exact Airtable year/make/model match</x:v>
      </x:c>
    </x:row>
    <x:row r="46" ht="48" customHeight="1">
      <x:c r="A46" s="81" t="n">
        <x:v>45909</x:v>
      </x:c>
      <x:c r="B46" s="82" t="str">
        <x:v>Kia Sportage ✔️Año 2024 ✔️5K millas ✔️Panorámico ✔️Servicio y Garantia 💲31,995 🏦FINANCIAMIENTO DISPONIBLE ✅CON O SIN EXPERIENCIA DE CRÉDITO ✅PRECIO COMPETITIVO 📲787-233-4800 CONTAMOS CON UNA GAMA AMPLIA DE 🚘, SOMOS TU DEALER DE CONFIANZA, VISÍTANOS. 📍Aguada, dealer Valle Auto Sales</x:v>
      </x:c>
      <x:c r="C46" s="77" t="str">
        <x:v>https://www.facebook.com/content/insights/?content_id=UzpfSTEwMDA1NzM3OTg4MTE2MjoxMjYzNDk4OTU4OTA2MDg4OjEyNjM0OTg5NTg5MDYwODg%3D&amp;entry_point=ProdashCometContentLibraryTable</x:v>
      </x:c>
      <x:c r="D46" s="85" t="str">
        <x:v>Delete candidate — no exact Airtable year/make/model match</x:v>
      </x:c>
    </x:row>
    <x:row r="47" ht="48" customHeight="1">
      <x:c r="A47" s="81" t="n">
        <x:v>45909</x:v>
      </x:c>
      <x:c r="B47" s="82" t="str">
        <x:v>Nissan Sentra ✔️Año 2020 ✔️26K millas ✔️ Servicio y Garantia 💲12,995 🏦FINANCIAMIENTO DISPONIBLE ✅CON O SIN EXPERIENCIA DE CRÉDITO ✅PRECIO COMPETITIVO 📲787-233-4800 CONTAMOS CON UNA GAMA AMPLIA DE 🚘, SOMOS TU DEALER DE CONFIANZA, VISÍTANOS. 📍Aguada, dealer Valle Auto Sales</x:v>
      </x:c>
      <x:c r="C47" s="77" t="str">
        <x:v>https://www.facebook.com/content/insights/?content_id=UzpfSTEwMDA1NzM3OTg4MTE2MjoxMjYzNDc1MjY4OTA4NDU3OjEyNjM0NzUyNjg5MDg0NTc%3D&amp;entry_point=ProdashCometContentLibraryTable</x:v>
      </x:c>
      <x:c r="D47" s="85" t="str">
        <x:v>Delete candidate — no exact Airtable year/make/model match</x:v>
      </x:c>
    </x:row>
    <x:row r="48" ht="48" customHeight="1">
      <x:c r="A48" s="81" t="n">
        <x:v>45905</x:v>
      </x:c>
      <x:c r="B48" s="82" t="str">
        <x:v>Mitsubishi Outlander ✔️Año 2018 ✔️87K Millas ✔️Tres filas de Asientos ✔️Servicio y Garantía 💲13,995 🏦FINANCIAMIENTO DISPONIBLE ✅CON O SIN EXPERIENCIA DE CRÉDITO ✅PRECIO COMPETITIVO 📲787-233-4800 CONTAMOS CON UNA GAMA AMPLIA DE 🚘, SOMOS TU DEALER DE CONFIANZA, VISÍTANOS. 📍Aguada, dealer Valle Auto Sales</x:v>
      </x:c>
      <x:c r="C48" s="77" t="str">
        <x:v>https://www.facebook.com/content/insights/?content_id=UzpfSTEwMDA1NzM3OTg4MTE2MjoxMjYwMzMzMjg5MjIyNjU1OjEyNjAzMzMyODkyMjI2NTU%3D&amp;entry_point=ProdashCometContentLibraryTable</x:v>
      </x:c>
      <x:c r="D48" s="85" t="str">
        <x:v>Delete candidate — no exact Airtable year/make/model match</x:v>
      </x:c>
    </x:row>
    <x:row r="49" ht="48" customHeight="1">
      <x:c r="A49" s="81" t="n">
        <x:v>45903</x:v>
      </x:c>
      <x:c r="B49" s="82" t="str">
        <x:v>Toyota RAV4 XLE Premium ✔️Año 2021 ✔️57K Millas ✔️Sunroof ✔️Garantía y Servicio 💲26,995 🏦FINANCIAMIENTO DISPONIBLE ✅CON O SIN EXPERIENCIA DE CRÉDITO ✅PRECIO COMPETITIVO 📲787-233-4800 CONTAMOS CON UNA GAMA AMPLIA DE 🚘, SOMOS TU DEALER DE CONFIANZA, VISÍTANOS. 📍Aguada, dealer Valle Auto Sales</x:v>
      </x:c>
      <x:c r="C49" s="77" t="str">
        <x:v>https://www.facebook.com/content/insights/?content_id=UzpfSTEwMDA1NzM3OTg4MTE2MjoxMjU4ODU2ODU2MDM2OTY1OjEyNTg4NTY4NTYwMzY5NjU%3D&amp;entry_point=ProdashCometContentLibraryTable</x:v>
      </x:c>
      <x:c r="D49" s="85" t="str">
        <x:v>Delete candidate — no exact Airtable year/make/model match</x:v>
      </x:c>
    </x:row>
    <x:row r="50" ht="48" customHeight="1">
      <x:c r="A50" s="81" t="n">
        <x:v>45901</x:v>
      </x:c>
      <x:c r="B50" s="82" t="str">
        <x:v>Hyundai Accent ✔️Año 2019 ✔️65K Millas ✔️Servicio y Garantía 💲10,995 Financiamiento Disponible, 📲787-233-4800</x:v>
      </x:c>
      <x:c r="C50" s="77" t="str">
        <x:v>https://www.facebook.com/content/insights/?content_id=UzpfSTEwMDA1NzM3OTg4MTE2MjoxMjU3MDg5NzYyODgwMzQxOjEyNTcwODk3NjI4ODAzNDE%3D&amp;entry_point=ProdashCometContentLibraryTable</x:v>
      </x:c>
      <x:c r="D50" s="85" t="str">
        <x:v>Delete candidate — no exact Airtable year/make/model match</x:v>
      </x:c>
    </x:row>
    <x:row r="51" ht="48" customHeight="1">
      <x:c r="A51" s="81" t="n">
        <x:v>45898</x:v>
      </x:c>
      <x:c r="B51" s="82" t="str">
        <x:v>Ford Explorer XLT ✔️Año 2016 ✔️94K Millas, ✔️Tres Filas de Asientos 💲13,995 📲787-233-4800</x:v>
      </x:c>
      <x:c r="C51" s="77" t="str">
        <x:v>https://www.facebook.com/content/insights/?content_id=UzpfSTEwMDA1NzM3OTg4MTE2MjoxMjU0ODk3NjU2NDMyODg1OjEyNTQ4OTc2NTY0MzI4ODU%3D&amp;entry_point=ProdashCometContentLibraryTable</x:v>
      </x:c>
      <x:c r="D51" s="85" t="str">
        <x:v>Delete candidate — no exact Airtable year/make/model match</x:v>
      </x:c>
    </x:row>
    <x:row r="52" ht="48" customHeight="1">
      <x:c r="A52" s="81" t="n">
        <x:v>45873</x:v>
      </x:c>
      <x:c r="B52" s="82" t="str">
        <x:v>Hyundai Santa Fe ✔️Año 2014 ✔️129K millas ✔️Òptimas condiciones ✔️Tres Filas de Asientos 💲10,995 📲787-233-4800</x:v>
      </x:c>
      <x:c r="C52" s="77" t="str">
        <x:v>https://www.facebook.com/content/insights/?content_id=UzpfSTEwMDA1NzM3OTg4MTE2MjoxMjM0NjcyNjQxNzg4NzIwOjEyMzQ2NzI2NDE3ODg3MjA%3D&amp;entry_point=ProdashCometContentLibraryTable</x:v>
      </x:c>
      <x:c r="D52" s="85" t="str">
        <x:v>Delete candidate — no exact Airtable year/make/model match</x:v>
      </x:c>
    </x:row>
    <x:row r="53" ht="48" customHeight="1">
      <x:c r="A53" s="81" t="n">
        <x:v>45863</x:v>
      </x:c>
      <x:c r="B53" s="82" t="str">
        <x:v>Toyota C-HR ✔️Año 2018 ✔️70K Millas ✔️Servicio y Garantía 💲15,995 🏦FINANCIAMIENTO DISPONIBLE ✅CON O SIN EXPERIENCIA DE CRÉDITO ✅PRECIO COMPETITIVO 📲787-233-4800 CONTAMOS CON UNA GAMA AMPLIA DE 🚘, SOMOS TU DEALER DE CONFIANZA, VISÍTANOS. 📍Aguada, dealer Valle Auto Sales</x:v>
      </x:c>
      <x:c r="C53" s="77" t="str">
        <x:v>https://www.facebook.com/content/insights/?content_id=UzpfSTEwMDA1NzM3OTg4MTE2MjoxMjI2NTk0ODE5MjYzMTY5OjEyMjY1OTQ4MTkyNjMxNjk%3D&amp;entry_point=ProdashCometContentLibraryTable</x:v>
      </x:c>
      <x:c r="D53" s="85" t="str">
        <x:v>Delete candidate — no exact Airtable year/make/model match</x:v>
      </x:c>
    </x:row>
    <x:row r="54" ht="48" customHeight="1">
      <x:c r="A54" s="81" t="n">
        <x:v>45833</x:v>
      </x:c>
      <x:c r="B54" s="82" t="str">
        <x:v>JEEP GRAND CHEROKEE SUMMIT EQUIPADA ✔️4*4 ✔️16K MILLAA ✔️AÑO 2022 ✔️SERVICIO Y GARANTÍA ✔️PANORÁMICO 💲39,995 🏦FINANCIAMIENTO DISPONIBLE ✅CON O SIN EXPERIENCIA DE CRÉDITO ✅PRECIO COMPETITIVO 📲787-233-4800 CONTAMOS CON UNA GAMA AMPLIA DE 🚘, SOMOS TU DEALER DE CONFIANZA, VISÍTANOS.</x:v>
      </x:c>
      <x:c r="C54" s="77" t="str">
        <x:v>https://www.facebook.com/content/insights/?content_id=UzpfSTEwMDA1NzM3OTg4MTE2MjoxMjAzNjUwMDU4MjI0MzEyOjEyMDM2NTAwNTgyMjQzMTI%3D&amp;entry_point=ProdashCometContentLibraryTable</x:v>
      </x:c>
      <x:c r="D54" s="85" t="str">
        <x:v>Delete candidate — no exact Airtable year/make/model match</x:v>
      </x:c>
    </x:row>
    <x:row r="55" ht="48" customHeight="1">
      <x:c r="A55" s="81" t="n">
        <x:v>45831</x:v>
      </x:c>
      <x:c r="B55" s="82" t="str">
        <x:v>NISSAN VERSA SR ✔️AÑO 2019 ✔️63k MILLAS ✔️SERVICIO Y GARANTÍA 💲8,995 🏦FINANCIAMIENTO DISPONIBLE ✅CON O SIN EXPERIENCIA DE CRÉDITO ✅PRECIO COMPETITIVO 📲787-233-4800 CONTAMOS CON UNA GAMA AMPLIA DE 🚘, SOMOS TU DEALER DE CONFIANZA, VISÍTANOS.</x:v>
      </x:c>
      <x:c r="C55" s="77" t="str">
        <x:v>https://www.facebook.com/content/insights/?content_id=UzpfSTEwMDA1NzM3OTg4MTE2MjoxMjAyMDkzMDI4MzgwMDE1OjEyMDIwOTMwMjgzODAwMTU%3D&amp;entry_point=ProdashCometContentLibraryTable</x:v>
      </x:c>
      <x:c r="D55" s="85" t="str">
        <x:v>Delete candidate — no exact Airtable year/make/model match</x:v>
      </x:c>
    </x:row>
    <x:row r="56" ht="48" customHeight="1">
      <x:c r="A56" s="81" t="n">
        <x:v>45810</x:v>
      </x:c>
      <x:c r="B56" s="82" t="str">
        <x:v>NISSAN FRONTIER ✔️AÑO 2015 ✔️ÓPTIMAS CONDICIONES 📲787-233-4800 💲10,995</x:v>
      </x:c>
      <x:c r="C56" s="77" t="str">
        <x:v>https://www.facebook.com/content/insights/?content_id=UzpfSTEwMDA1NzM3OTg4MTE2MjoxMTg2NDUwNzE5OTQ0MjQ2OjExODY0NTA3MTk5NDQyNDY%3D&amp;entry_point=ProdashCometContentLibraryTable</x:v>
      </x:c>
      <x:c r="D56" s="85" t="str">
        <x:v>Delete candidate — no exact Airtable year/make/model match</x:v>
      </x:c>
    </x:row>
    <x:row r="57" ht="48" customHeight="1">
      <x:c r="A57" s="81" t="n">
        <x:v>45808</x:v>
      </x:c>
      <x:c r="B57" s="82" t="str">
        <x:v>MITSUBISHI OUTLANDER SPORT ✔️AÑO 2018, ✔️87K MILLAS ✔️SERVICIO Y GARANTÍA 💲$11,995 🏦FINANCIAMIENTO DISPONIBLE ✅CON O SIN EXPERIENCIA DE CRÉDITO ✅PRECIO COMPETITIVO 📲787-233-4800 CONTAMOS CON UNA GAMA AMPLIA DE 🚘, SOMOS TU DEALER DE CONFIANZA, VISÍTANOS.</x:v>
      </x:c>
      <x:c r="C57" s="77" t="str">
        <x:v>https://www.facebook.com/content/insights/?content_id=UzpfSTEwMDA1NzM3OTg4MTE2MjoxMTg0ODQxMTYwMTA1MjAyOjExODQ4NDExNjAxMDUyMDI%3D&amp;entry_point=ProdashCometContentLibraryTable</x:v>
      </x:c>
      <x:c r="D57" s="85" t="str">
        <x:v>Delete candidate — no exact Airtable year/make/model match</x:v>
      </x:c>
    </x:row>
    <x:row r="58" ht="48" customHeight="1">
      <x:c r="A58" s="81" t="n">
        <x:v>45804</x:v>
      </x:c>
      <x:c r="B58" s="82" t="str">
        <x:v>KIA SOUL ✔️AÑO 2015 💲8,995 Excelentes condiciones 📲787-233-4800</x:v>
      </x:c>
      <x:c r="C58" s="77" t="str">
        <x:v>https://www.facebook.com/content/insights/?content_id=UzpfSTEwMDA1NzM3OTg4MTE2MjoxMTgyMDM0Mjk3MDUyNTU1OjExODIwMzQyOTcwNTI1NTU%3D&amp;entry_point=ProdashCometContentLibraryTable</x:v>
      </x:c>
      <x:c r="D58" s="85" t="str">
        <x:v>Delete candidate — no exact Airtable year/make/model match</x:v>
      </x:c>
    </x:row>
    <x:row r="59" ht="48" customHeight="1">
      <x:c r="A59" s="81" t="n">
        <x:v>45794</x:v>
      </x:c>
      <x:c r="B59" s="82" t="str">
        <x:v>HYUNDAI VENUE ✔️AÑO 2033 ✔️38K MILLAS 💲17,995 🏦FINANCIAMIENTO DISPONIBLE ✅CON O SIN EXPERIENCIA DE CRÉDITO ✅PRECIO COMPETITIVO 📲787-233-4800 CONTAMOS CON UNA GAMA AMPLIA DE 🚘, SOMOS TU DEALER DE CONFIANZA, VISÍTANOS.</x:v>
      </x:c>
      <x:c r="C59" s="77" t="str">
        <x:v>https://www.facebook.com/content/insights/?content_id=UzpfSTEwMDA1NzM3OTg4MTE2MjoxMTc0NzY1NTM0NDQ2MDk4OjExNzQ3NjU1MzQ0NDYwOTg%3D&amp;entry_point=ProdashCometContentLibraryTable</x:v>
      </x:c>
      <x:c r="D59" s="85" t="str">
        <x:v>Delete candidate — no exact Airtable year/make/model match</x:v>
      </x:c>
    </x:row>
    <x:row r="60" ht="48" customHeight="1">
      <x:c r="A60" s="81" t="n">
        <x:v>45789</x:v>
      </x:c>
      <x:c r="B60" s="82" t="str">
        <x:v>KIA SPORTAGE, ✔️AÑO 2022 ✔️50K MILLAS ✔️SERVICIO Y GARANTÍA 💲16,995 🏦FINANCIAMIENTO DISPONIBLE ✅CON O SIN EXPERIENCIA DE CRÉDITO ✅PRECIO COMPETITIVO 📲787-233-4800 CONTAMOS CON UNA GAMA AMPLIA DE 🚘, SOMOS TU DEALER DE CONFIANZA, VISÍTANOS.</x:v>
      </x:c>
      <x:c r="C60" s="77" t="str">
        <x:v>https://www.facebook.com/content/insights/?content_id=UzpfSTEwMDA1NzM3OTg4MTE2MjoxMTcxMzI5ODUxNDU2MzMzOjExNzEzMjk4NTE0NTYzMzM%3D&amp;entry_point=ProdashCometContentLibraryTable</x:v>
      </x:c>
      <x:c r="D60" s="85" t="str">
        <x:v>Delete candidate — no exact Airtable year/make/model match</x:v>
      </x:c>
    </x:row>
    <x:row r="61" ht="48" customHeight="1">
      <x:c r="A61" s="81" t="n">
        <x:v>45787</x:v>
      </x:c>
      <x:c r="B61" s="82" t="str">
        <x:v>HYUNDAI ELANTRA SPORT ✔️TURBO ✔️SUNROOF ✔️AÑO 2018 ✔️SERVICIO Y GARANTÍA ✔️STANDARD 💲14,995 🏦FINANCIAMIENTO DISPONIBLE ✅CON O SIN EXPERIENCIA DE CRÉDITO ✅PRECIO COMPETITIVO 📲787-233-4800 CONTAMOS CON UNA GAMA AMPLIA DE 🚘, SOMOS TU DEALER DE CONFIANZA, VISÍTANOS.</x:v>
      </x:c>
      <x:c r="C61" s="77" t="str">
        <x:v>https://www.facebook.com/content/insights/?content_id=UzpfSTEwMDA1NzM3OTg4MTE2MjoxMTY5ODYzOTQ0OTM2MjU3OjExNjk4NjM5NDQ5MzYyNTc%3D&amp;entry_point=ProdashCometContentLibraryTable</x:v>
      </x:c>
      <x:c r="D61" s="85" t="str">
        <x:v>Delete candidate — no exact Airtable year/make/model match</x:v>
      </x:c>
    </x:row>
    <x:row r="62" ht="48" customHeight="1">
      <x:c r="A62" s="81" t="n">
        <x:v>45776</x:v>
      </x:c>
      <x:c r="B62" s="82" t="str">
        <x:v>HYUNDAI ELANTRA ✔️AÑO 2022 ✔️9K MILLAS ✔️SERVICIO Y GARANTÍA 💲18,995 🏦FINANCIAMIENTO DISPONIBLE ✅CON O SIN EXPERIENCIA DE CRÉDITO ✅PRECIO COMPETITIVO 📲787-233-4800 CONTAMOS CON UNA GAMA AMPLIA DE 🚘, SOMOS TU DEALER DE CONFIANZA, VISÍTANOS.</x:v>
      </x:c>
      <x:c r="C62" s="77" t="str">
        <x:v>https://www.facebook.com/content/insights/?content_id=UzpfSTEwMDA1NzM3OTg4MTE2MjoxMTYxOTg5MjIyMzkwMzk2OjExNjE5ODkyMjIzOTAzOTY%3D&amp;entry_point=ProdashCometContentLibraryTable</x:v>
      </x:c>
      <x:c r="D62" s="85" t="str">
        <x:v>Delete candidate — no exact Airtable year/make/model match</x:v>
      </x:c>
    </x:row>
    <x:row r="63" ht="48" customHeight="1">
      <x:c r="A63" s="81" t="n">
        <x:v>45776</x:v>
      </x:c>
      <x:c r="B63" s="82" t="str">
        <x:v>TOYOTA COROLLA SE ✔️AÑO 2021 ✔️39K MILLAS ✔️SUNROOF ✔️SERVICIO Y GARANTÍA ✔️21,995 🏦FINANCIAMIENTO DISPONIBLE ✅CON O SIN EXPERIENCIA DE CRÉDITO ✅PRECIO COMPETITIVO 📲787-233-4800 CONTAMOS CON UNA GAMA AMPLIA DE 🚘, SOMOS TU DEALER DE CONFIANZA, VISÍTANOS.</x:v>
      </x:c>
      <x:c r="C63" s="77" t="str">
        <x:v>https://www.facebook.com/content/insights/?content_id=UzpfSTEwMDA1NzM3OTg4MTE2MjoxMTYxOTY4NjA1NzI1NzkxOjExNjE5Njg2MDU3MjU3OTE%3D&amp;entry_point=ProdashCometContentLibraryTable</x:v>
      </x:c>
      <x:c r="D63" s="85" t="str">
        <x:v>Delete candidate — no exact Airtable year/make/model match</x:v>
      </x:c>
    </x:row>
    <x:row r="64" ht="48" customHeight="1">
      <x:c r="A64" s="81" t="n">
        <x:v>45776</x:v>
      </x:c>
      <x:c r="B64" s="82" t="str">
        <x:v>NISSAN KICKS SV, ✔️AÑO 2020 ✔️63K MILLAS ✔️SERVICIO Y GARANTÍA 💲13,995 🏦FINANCIAMIENTO DISPONIBLE ✅CON O SIN EXPERIENCIA DE CRÉDITO ✅PRECIO COMPETITIVO 📲787-233-4800 CONTAMOS CON UNA GAMA AMPLIA DE 🚘, SOMOS TU DEALER DE CONFIANZA, VISÍTANOS.</x:v>
      </x:c>
      <x:c r="C64" s="77" t="str">
        <x:v>https://www.facebook.com/content/insights/?content_id=UzpfSTEwMDA1NzM3OTg4MTE2MjoxMTYxOTUwMzg1NzI3NjEzOjExNjE5NTAzODU3Mjc2MTM%3D&amp;entry_point=ProdashCometContentLibraryTable</x:v>
      </x:c>
      <x:c r="D64" s="85" t="str">
        <x:v>Delete candidate — no exact Airtable year/make/model match</x:v>
      </x:c>
    </x:row>
    <x:row r="65" ht="48" customHeight="1">
      <x:c r="A65" s="81" t="n">
        <x:v>45772</x:v>
      </x:c>
      <x:c r="B65" s="82" t="str">
        <x:v>NISSAN SENTRA SR ✔️AÑO 2022 ✔️12K MILLAS ✔️SERVICIO Y GARANTÍA 💲21,995 🏦FINANCIAMIENTO DISPONIBLE ✅CON O SIN EXPERIENCIA DE CRÉDITO ✅PRECIO COMPETITIVO 📲787-233-4800 CONTAMOS CON UNA GAMA AMPLIA DE 🚘, SOMOS TU DEALER DE CONFIANZA, VISÍTANOS.</x:v>
      </x:c>
      <x:c r="C65" s="77" t="str">
        <x:v>https://www.facebook.com/content/insights/?content_id=UzpfSTEwMDA1NzM3OTg4MTE2MjoxMTU4OTk5ODc2MDIyNjY0OjExNTg5OTk4NzYwMjI2NjQ%3D&amp;entry_point=ProdashCometContentLibraryTable</x:v>
      </x:c>
      <x:c r="D65" s="85" t="str">
        <x:v>Delete candidate — no exact Airtable year/make/model match</x:v>
      </x:c>
    </x:row>
    <x:row r="66" ht="48" customHeight="1">
      <x:c r="A66" s="81" t="n">
        <x:v>45772</x:v>
      </x:c>
      <x:c r="B66" s="82" t="str">
        <x:v>MITSUBISHI OUTLANDER ✔️AÑO 2019 ✔️55K MILLAS 💲15,995 🏦FINANCIAMIENTO DISPONIBLE ✅CON O SIN EXPERIENCIA DE CRÉDITO ✅PRECIO COMPETITIVO 📲787-233-4800 CONTAMOS CON UNA GAMA AMPLIA DE 🚘, SOMOS TU DEALER DE CONFIANZA, VISÍTANOS.</x:v>
      </x:c>
      <x:c r="C66" s="77" t="str">
        <x:v>https://www.facebook.com/content/insights/?content_id=UzpfSTEwMDA1NzM3OTg4MTE2MjoxMTU4OTM4NDc5MzYyMTM3OjExNTg5Mzg0NzkzNjIxMzc%3D&amp;entry_point=ProdashCometContentLibraryTable</x:v>
      </x:c>
      <x:c r="D66" s="85" t="str">
        <x:v>Delete candidate — no exact Airtable year/make/model match</x:v>
      </x:c>
    </x:row>
    <x:row r="67" ht="48" customHeight="1">
      <x:c r="A67" s="81" t="n">
        <x:v>45763</x:v>
      </x:c>
      <x:c r="B67" s="82" t="str">
        <x:v>HONDA HR-V EX ✔️AÑO 2022 ✔️12K MILLAS ✔️SERVICIO Y GARANTÍA ✔️ Ofrece estilo, comodidad y versatilidad. 💲21,995 🏦FINANCIAMIENTO DISPONIBLE ✅CON O SIN EXPERIENCIA DE CRÉDITO ✅PRECIO COMPETITIVO 📲787-233-4800 CONTAMOS CON UNA GAMA AMPLIA DE 🚘, SOMOS TU DEALER DE CONFIANZA, VISÍTANOS.</x:v>
      </x:c>
      <x:c r="C67" s="77" t="str">
        <x:v>https://www.facebook.com/content/insights/?content_id=UzpfSTEwMDA1NzM3OTg4MTE2MjoxMTUyMjUyMDYzMzY0MTEyOjExNTIyNTIwNjMzNjQxMTI%3D&amp;entry_point=ProdashCometContentLibraryTable</x:v>
      </x:c>
      <x:c r="D67" s="85" t="str">
        <x:v>Delete candidate — no exact Airtable year/make/model match</x:v>
      </x:c>
    </x:row>
    <x:row r="68" ht="48" customHeight="1">
      <x:c r="A68" s="81" t="n">
        <x:v>45757</x:v>
      </x:c>
      <x:c r="B68" s="82" t="str">
        <x:v>TOYOTA TACOMA, AÑO 2019 ✔️4*4 ✔️77K MILLAS ✔️AÑO 2019 ✔️SERVICIO Y GARANTÍA 💲31,995 🏦FINANCIAMIENTO DISPONIBLE ✅CON O SIN EXPERIENCIA DE CRÉDITO ✅PRECIO COMPETITIVO 📲787-233-4800 CONTAMOS CON UNA GAMA AMPLIA DE 🚘, SOMOS TU DEALER DE CONFIANZA, VISÍTANOS.</x:v>
      </x:c>
      <x:c r="C68" s="77" t="str">
        <x:v>https://www.facebook.com/content/insights/?content_id=UzpfSTEwMDA1NzM3OTg4MTE2MjoxMTQ3NTY0OTcwNDk5NDg4OjExNDc1NjQ5NzA0OTk0ODg%3D&amp;entry_point=ProdashCometContentLibraryTable</x:v>
      </x:c>
      <x:c r="D68" s="85" t="str">
        <x:v>Delete candidate — no exact Airtable year/make/model match</x:v>
      </x:c>
    </x:row>
    <x:row r="69" ht="48" customHeight="1">
      <x:c r="A69" s="81" t="n">
        <x:v>45754</x:v>
      </x:c>
      <x:c r="B69" s="82" t="str">
        <x:v>HYUNDAI ELANTRA ✔️AÑO 2021 ✔️34K MILLAS ✔️ 34K MILLAS 💲15,995 ✔️SERVICIO Y GARANTÍA 🏦FINANCIAMIENTO DISPONIBLE ✅CON O SIN EXPERIENCIA DE CRÉDITO ✅PRECIO COMPETITIVO 📲787-233-4800 CONTAMOS CON UNA GAMA AMPLIA DE 🚘, SOMOS TU DEALER DE CONFIANZA, VISÍTANOS.</x:v>
      </x:c>
      <x:c r="C69" s="77" t="str">
        <x:v>https://www.facebook.com/content/insights/?content_id=UzpfSTEwMDA1NzM3OTg4MTE2MjoxMTQ1MjM5NTM0MDY1MzY1OjExNDUyMzk1MzQwNjUzNjU%3D&amp;entry_point=ProdashCometContentLibraryTable</x:v>
      </x:c>
      <x:c r="D69" s="85" t="str">
        <x:v>Delete candidate — no exact Airtable year/make/model match</x:v>
      </x:c>
    </x:row>
    <x:row r="70" ht="48" customHeight="1">
      <x:c r="A70" s="81" t="n">
        <x:v>45745</x:v>
      </x:c>
      <x:c r="B70" s="82" t="str">
        <x:v>NISSAN FRONTIER ✔️AÑO 2015 ✔️108K MILLAS 💲14,995 📲787-233-4800 CONTAMOS CON UNA GAMA AMPLIA DE 🚘, SOMOS TU DEALER DE CONFIANZA, VISÍTANOS.</x:v>
      </x:c>
      <x:c r="C70" s="77" t="str">
        <x:v>https://www.facebook.com/content/insights/?content_id=UzpfSTEwMDA1NzM3OTg4MTE2MjoxMTM3Njc3NDU0ODIxNTczOjExMzc2Nzc0NTQ4MjE1NzM%3D&amp;entry_point=ProdashCometContentLibraryTable</x:v>
      </x:c>
      <x:c r="D70" s="85" t="str">
        <x:v>Delete candidate — no exact Airtable year/make/model match</x:v>
      </x:c>
    </x:row>
    <x:row r="71" ht="48" customHeight="1">
      <x:c r="A71" s="81" t="n">
        <x:v>45736</x:v>
      </x:c>
      <x:c r="B71" s="82" t="str">
        <x:v>KIA RIO ✔️AÑO 2022 ✔️25K MILLAS 💲13,995 🏦FINANCIAMIENTO DISPONIBLE ✅CON O SIN EXPERIENCIA DE CRÉDITO ✅PRECIO COMPETITIVO 📲787-233-4800 CONTAMOS CON UNA GAMA AMPLIA DE 🚘, SOMOS TU DEALER DE CONFIANZA, VISÍTANOS.</x:v>
      </x:c>
      <x:c r="C71" s="77" t="str">
        <x:v>https://www.facebook.com/content/insights/?content_id=UzpfSTEwMDA1NzM3OTg4MTE2MjoxMTMxMDc4OTU4ODE0NzU2OjExMzEwNzg5NTg4MTQ3NTY%3D&amp;entry_point=ProdashCometContentLibraryTable</x:v>
      </x:c>
      <x:c r="D71" s="85" t="str">
        <x:v>Delete candidate — no exact Airtable year/make/model match</x:v>
      </x:c>
    </x:row>
    <x:row r="72" ht="48" customHeight="1">
      <x:c r="A72" s="81" t="n">
        <x:v>45731</x:v>
      </x:c>
      <x:c r="B72" s="82" t="str">
        <x:v>NISSAN VERSA SV ✔️AÑO 2020 ✔️37K MILLAS 💲11,995 🏦FINANCIAMIENTO DISPONIBLE ✅CON O SIN EXPERIENCIA DE CRÉDITO ✅PRECIO COMPETITIVO 📲787-233-4800 CONTAMOS CON UNA GAMA AMPLIA DE 🚘, SOMOS TU DEALER DE CONFIANZA, VISÍTANOS.</x:v>
      </x:c>
      <x:c r="C72" s="77" t="str">
        <x:v>https://www.facebook.com/content/insights/?content_id=UzpfSTEwMDA1NzM3OTg4MTE2MjoxMTI3MzA1NTQ1ODU4NzY0OjExMjczMDU1NDU4NTg3NjQ%3D&amp;entry_point=ProdashCometContentLibraryTable</x:v>
      </x:c>
      <x:c r="D72" s="85" t="str">
        <x:v>Delete candidate — no exact Airtable year/make/model match</x:v>
      </x:c>
    </x:row>
    <x:row r="73" ht="48" customHeight="1">
      <x:c r="A73" s="81" t="n">
        <x:v>45728</x:v>
      </x:c>
      <x:c r="B73" s="82" t="str">
        <x:v>MITSUBISHI OUTLANDER ✔️AÑO 2019 ✔️55K MILLAS 💲16,995 🏦FINANCIAMIENTO DISPONIBLE ✅CON O SIN EXPERIENCIA DE CRÉDITO ✅PRECIO COMPETITIVO 📲787-233-4800 CONTAMOS CON UNA GAMA AMPLIA DE 🚘, SOMOS TU DEALER DE CONFIANZA, VISÍTANOS.</x:v>
      </x:c>
      <x:c r="C73" s="77" t="str">
        <x:v>https://www.facebook.com/content/insights/?content_id=UzpfSTEwMDA1NzM3OTg4MTE2MjoxMTI1MjI2NjE2MDY2NjU3OjExMjUyMjY2MTYwNjY2NTc%3D&amp;entry_point=ProdashCometContentLibraryTable</x:v>
      </x:c>
      <x:c r="D73" s="85" t="str">
        <x:v>Delete candidate — no exact Airtable year/make/model match</x:v>
      </x:c>
    </x:row>
    <x:row r="74" ht="48" customHeight="1">
      <x:c r="A74" s="81" t="n">
        <x:v>45722</x:v>
      </x:c>
      <x:c r="B74" s="82" t="str">
        <x:v>TOYOTA TACOMA TRD SPORT ✔️AÑO 2023 ✔️25K MILLAS 💲39,995 🏦FINANCIAMIENTO DISPONIBLE ✅CON O SIN EXPERIENCIA DE CRÉDITO ✅PRECIOS COMPETITIVOS 📲787-233-4800 CONTAMOS CON UNA GAMA AMPLIA DE 🚘, SOMOS TU DEALER DE CONFIANZA, VISÍTANOS.</x:v>
      </x:c>
      <x:c r="C74" s="77" t="str">
        <x:v>https://www.facebook.com/content/insights/?content_id=UzpfSTEwMDA1NzM3OTg4MTE2MjoxMTIwNzA4ODU5ODUxNzY2OjExMjA3MDg4NTk4NTE3NjY%3D&amp;entry_point=ProdashCometContentLibraryTable</x:v>
      </x:c>
      <x:c r="D74" s="85" t="str">
        <x:v>Delete candidate — no exact Airtable year/make/model match</x:v>
      </x:c>
    </x:row>
    <x:row r="75" ht="48" customHeight="1">
      <x:c r="A75" s="81" t="n">
        <x:v>45717</x:v>
      </x:c>
      <x:c r="B75" s="82" t="str">
        <x:v>HYUNDAI SONATA SPORT ✔️AÑO 2018 ✔️50K MILLAS 💲15,995 🏦FINANCIAMIENTO DISPONIBLE ✅CON O SIN EXPERIENCIA DE CRÉDITO ✅PRECIOS COMPETITIVOS 📲787-233-4800 CONTAMOS CON UNA GAMA AMPLIA DE 🚘, SOMOS TU DEALER DE CONFIANZA, VISÍTANOS.</x:v>
      </x:c>
      <x:c r="C75" s="77" t="str">
        <x:v>https://www.facebook.com/content/insights/?content_id=UzpfSTEwMDA1NzM3OTg4MTE2MjoxMTE2ODEyODEwMjQxMzcxOjExMTY4MTI4MTAyNDEzNzE%3D&amp;entry_point=ProdashCometContentLibraryTable</x:v>
      </x:c>
      <x:c r="D75" s="85" t="str">
        <x:v>Delete candidate — no exact Airtable year/make/model match</x:v>
      </x:c>
    </x:row>
    <x:row r="76" ht="48" customHeight="1">
      <x:c r="A76" s="81" t="n">
        <x:v>45717</x:v>
      </x:c>
      <x:c r="B76" s="82" t="str">
        <x:v>HYUNDAI ELANTRA ✔️AÑO 2020 ✔️4K MILLAS 💲14,995 🏦FINANCIAMIENTO DISPONIBLE ✅CON O SIN EXPERIENCIA DE CRÉDITO ✅PRECIOS COMPETITIVOS 📲787-233-4800 CONTAMOS CON UNA GAMA AMPLIA DE 🚘, SOMOS TU DEALER DE CONFIANZA, VISÍTANOS.</x:v>
      </x:c>
      <x:c r="C76" s="77" t="str">
        <x:v>https://www.facebook.com/content/insights/?content_id=UzpfSTEwMDA1NzM3OTg4MTE2MjoxMTE2Nzk1NjkzNTc2NDE2OjExMTY3OTU2OTM1NzY0MTY%3D&amp;entry_point=ProdashCometContentLibraryTable</x:v>
      </x:c>
      <x:c r="D76" s="85" t="str">
        <x:v>Delete candidate — no exact Airtable year/make/model match</x:v>
      </x:c>
    </x:row>
    <x:row r="77" ht="48" customHeight="1">
      <x:c r="A77" s="81" t="n">
        <x:v>45716</x:v>
      </x:c>
      <x:c r="B77" s="82" t="str">
        <x:v>HYUNDAI TUCSON ✔️AÑO 2021 ✔️38K MILLAS 💲16,995 🏦FINANCIAMIENTO DISPONIBLE ✅CON O SIN EXPERIENCIA DE CRÉDITO ✅PRECIOS COMPETITIVOS 📲787-233-4800 CONTAMOS CON UNA GAMA AMPLIA DE 🚘, SOMOS TU DEALER DE CONFIANZA, VISÍTANOS.</x:v>
      </x:c>
      <x:c r="C77" s="77" t="str">
        <x:v>https://www.facebook.com/content/insights/?content_id=UzpfSTEwMDA1NzM3OTg4MTE2MjoxMTE2Mjk0NTcwMjkzMTk1OjExMTYyOTQ1NzAyOTMxOTU%3D&amp;entry_point=ProdashCometContentLibraryTable</x:v>
      </x:c>
      <x:c r="D77" s="85" t="str">
        <x:v>Delete candidate — no exact Airtable year/make/model match</x:v>
      </x:c>
    </x:row>
    <x:row r="78" ht="48" customHeight="1">
      <x:c r="A78" s="81" t="n">
        <x:v>45713</x:v>
      </x:c>
      <x:c r="B78" s="82" t="str">
        <x:v>NISSAN SENTRA SR ✔️Año 2022 ✔️12K millas 💲23,995 🏦FINANCIAMIENTO DISPONIBLE ✅CON O SIN EXPERIENCIA DE CRÉDITO ✅PRECIOS COMPETITIVOS 📲787-233-4800 CONTAMOS CON UNA GAMA AMPLIA DE 🚘, SOMOS TU DEALER DE CONFIANZA, VISÍTANOS.</x:v>
      </x:c>
      <x:c r="C78" s="77" t="str">
        <x:v>https://www.facebook.com/content/insights/?content_id=UzpfSTEwMDA1NzM3OTg4MTE2MjoxMTEzODUwOTk3MjA0MjE5OjExMTM4NTA5OTcyMDQyMTk%3D&amp;entry_point=ProdashCometContentLibraryTable</x:v>
      </x:c>
      <x:c r="D78" s="85" t="str">
        <x:v>Delete candidate — no exact Airtable year/make/model match</x:v>
      </x:c>
    </x:row>
    <x:row r="79" ht="48" customHeight="1">
      <x:c r="A79" s="81" t="n">
        <x:v>45710</x:v>
      </x:c>
      <x:c r="B79" s="82" t="str">
        <x:v>JEEP WRANGLER SPORT ✔️ Año 2014 ✔️103K MILLAS 💲20,995 📲787-233-4800</x:v>
      </x:c>
      <x:c r="C79" s="77" t="str">
        <x:v>https://www.facebook.com/content/insights/?content_id=UzpfSTEwMDA1NzM3OTg4MTE2MjoxMTExOTE5ODk3Mzk3MzI5OjExMTE5MTk4OTczOTczMjk%3D&amp;entry_point=ProdashCometContentLibraryTable</x:v>
      </x:c>
      <x:c r="D79" s="85" t="str">
        <x:v>Delete candidate — no exact Airtable year/make/model match</x:v>
      </x:c>
    </x:row>
    <x:row r="80" ht="48" customHeight="1">
      <x:c r="A80" s="81" t="n">
        <x:v>45710</x:v>
      </x:c>
      <x:c r="B80" s="82" t="str">
        <x:v>HYUNDAI TUCSON ✔️AÑO 2023 ✔️20K MILLAS 💲24,995 🏦FINANCIAMIENTO DISPONIBLE ✅CON O SIN EXPERIENCIA DE CRÉDITO ✅PRECIOS COMPETITIVOS 📲787-233-4800 CONTAMOS CON UNA GAMA AMPLIA DE 🚘, SOMOS TU DEALER DE CONFIANZA, VISÍTANOS.</x:v>
      </x:c>
      <x:c r="C80" s="77" t="str">
        <x:v>https://www.facebook.com/content/insights/?content_id=UzpfSTEwMDA1NzM3OTg4MTE2MjoxMTExODc3MzEwNzM0OTIxOjExMTE4NzczMTA3MzQ5MjE%3D&amp;entry_point=ProdashCometContentLibraryTable</x:v>
      </x:c>
      <x:c r="D80" s="85" t="str">
        <x:v>Delete candidate — no exact Airtable year/make/model match</x:v>
      </x:c>
    </x:row>
    <x:row r="81" ht="48" customHeight="1">
      <x:c r="A81" s="81" t="n">
        <x:v>45701</x:v>
      </x:c>
      <x:c r="B81" s="82" t="str">
        <x:v>MITSUBISHI ASX SPORT AÑO 2021, 17K MILLAS $17,995 🏦FINANCIAMIENTO DISPONIBLE ✅CON O SIN EXPERIENCIA DE CRÉDITO ✅PRECIOS COMPETITIVOS 📲787-233-4800 CONTAMOS CON UNA GAMA AMPLIA DE 🚘, SOMOS TU DEALER DE CONFIANZA, VISÍTANOS.</x:v>
      </x:c>
      <x:c r="C81" s="77" t="str">
        <x:v>https://www.facebook.com/content/insights/?content_id=UzpfSTEwMDA1NzM3OTg4MTE2MjoxMTA1MDc5NjE0NzQ4MDI0OjExMDUwNzk2MTQ3NDgwMjQ%3D&amp;entry_point=ProdashCometContentLibraryTable</x:v>
      </x:c>
      <x:c r="D81" s="85" t="str">
        <x:v>Delete candidate — no exact Airtable year/make/model match</x:v>
      </x:c>
    </x:row>
    <x:row r="82" ht="48" customHeight="1">
      <x:c r="A82" s="81" t="n">
        <x:v>45695</x:v>
      </x:c>
      <x:c r="B82" s="82" t="str">
        <x:v>JEEP WRANGLER, AÑO 2023, 3K MILLAS 🏦FINANCIAMIENTO DISPONIBLE ✅CON O SIN EXPERIENCIA DE CRÉDITO ✅PRECIOS COMPETITIVOS 📲787-233-4800 CONTAMOS CON UNA GAMA AMPLIA DE 🚘, SOMOS TU DEALER DE CONFIANZA, VISÍTANOS.</x:v>
      </x:c>
      <x:c r="C82" s="77" t="str">
        <x:v>https://www.facebook.com/content/insights/?content_id=UzpfSTEwMDA1NzM3OTg4MTE2MjoxMTAwOTY3NTQ4NDkyNTY0OjExMDA5Njc1NDg0OTI1NjQ%3D&amp;entry_point=ProdashCometContentLibraryTable</x:v>
      </x:c>
      <x:c r="D82" s="85" t="str">
        <x:v>Delete candidate — no exact Airtable year/make/model match</x:v>
      </x:c>
    </x:row>
    <x:row r="83" ht="48" customHeight="1">
      <x:c r="A83" s="81" t="n">
        <x:v>45694</x:v>
      </x:c>
      <x:c r="B83" s="82" t="str">
        <x:v>HYUNDAI SANTA FE AÑO 2023 180 MILLAS $27,995 🏦FINANCIAMIENTO DISPONIBLE ✅CON O SIN EXPERIENCIA DE CRÉDITO ✅PRECIOS COMPETITIVOS 📲787-233-4800 CONTAMOS CON UNA GAMA AMPLIA DE 🚘, SOMOS TU DEALER DE CONFIANZA, VISÍTANOS.</x:v>
      </x:c>
      <x:c r="C83" s="77" t="str">
        <x:v>https://www.facebook.com/content/insights/?content_id=UzpfSTEwMDA1NzM3OTg4MTE2MjoxMTAwMzIyOTExODkwMzYxOjExMDAzMjI5MTE4OTAzNjE%3D&amp;entry_point=ProdashCometContentLibraryTable</x:v>
      </x:c>
      <x:c r="D83" s="85" t="str">
        <x:v>Delete candidate — no exact Airtable year/make/model match</x:v>
      </x:c>
    </x:row>
    <x:row r="84" ht="48" customHeight="1">
      <x:c r="A84" s="81" t="n">
        <x:v>45611</x:v>
      </x:c>
      <x:c r="B84" s="82" t="str">
        <x:v>HONDA CIVIC SPORT AÑO 2022, 27K millas 🏦Opciones en Financiamientos 📲786-233-4800 Precio:$24,995 TU DEALER DE CONFIANZA, VISÍTANOS Y SALDRÁS CON EL AUTO DE TUS SUEÑOS.</x:v>
      </x:c>
      <x:c r="C84" s="77" t="str">
        <x:v>https://www.facebook.com/content/insights/?content_id=UzpfSTEwMDA1NzM3OTg4MTE2MjoxMDQ0MTYyMjA0MTczMDk5OjEwNDQxNjIyMDQxNzMwOTk%3D&amp;entry_point=ProdashCometContentLibraryTable</x:v>
      </x:c>
      <x:c r="D84" s="85" t="str">
        <x:v>Delete candidate — no exact Airtable year/make/model match</x:v>
      </x:c>
    </x:row>
    <x:row r="85" ht="48" customHeight="1">
      <x:c r="A85" s="81" t="n">
        <x:v>45611</x:v>
      </x:c>
      <x:c r="B85" s="82" t="str">
        <x:v>TOYOTA RAV4 XLE AÑO 2021 42K MILLAS, SUNROOF, LLAVE INTELIGENTE, 🏦OPCIONES EN FINANCIAMIENTOS 📲787-233-4800 $28,985 TU DEALER DE CONFIANZA, VISÍTANOS Y SALDRÁS MONTADO, CONTAMOS CON UNA GAMA AMPLIA DE AUTOS QUE SU AJUSTAN A SU PRESUPUESTO.</x:v>
      </x:c>
      <x:c r="C85" s="77" t="str">
        <x:v>https://www.facebook.com/content/insights/?content_id=UzpfSTEwMDA1NzM3OTg4MTE2MjoxMDQzODk0NzY0MTk5ODQzOjEwNDM4OTQ3NjQxOTk4NDM%3D&amp;entry_point=ProdashCometContentLibraryTable</x:v>
      </x:c>
      <x:c r="D85" s="85" t="str">
        <x:v>Delete candidate — no exact Airtable year/make/model match</x:v>
      </x:c>
    </x:row>
    <x:row r="86" ht="48" customHeight="1">
      <x:c r="A86" s="81" t="n">
        <x:v>45593</x:v>
      </x:c>
      <x:c r="B86" s="82" t="str">
        <x:v>NISSAN VERSA AÑO 2022, 23K MILLAS OPCIONES EN FINANCIAMIENTOS $12,995 📲787-233-4800 TU DEALER DE CONFIANZA, VÍSITANOS Y SALDRÁS CON EL AUTO DE TUS SUEÑOS.</x:v>
      </x:c>
      <x:c r="C86" s="77" t="str">
        <x:v>https://www.facebook.com/content/insights/?content_id=UzpfSTEwMDA1NzM3OTg4MTE2MjoxMDMxNjgwNzYyMDg3OTEwOjEwMzE2ODA3NjIwODc5MTA%3D&amp;entry_point=ProdashCometContentLibraryTable</x:v>
      </x:c>
      <x:c r="D86" s="85" t="str">
        <x:v>Delete candidate — no exact Airtable year/make/model match</x:v>
      </x:c>
    </x:row>
    <x:row r="87" ht="48" customHeight="1">
      <x:c r="A87" s="81" t="n">
        <x:v>45593</x:v>
      </x:c>
      <x:c r="B87" s="82" t="str">
        <x:v>TOYOTA COROLLA IM AÑO 2017 STANDARD, 59K MILLAS OPCIONES DE FINANCIAMIENTOS TU DEALER DE CONFIANZA, VISÍTANOS Y ENCONTRARÁS LOS MEJORES PRECIOS . 📲787-233-4800</x:v>
      </x:c>
      <x:c r="C87" s="77" t="str">
        <x:v>https://www.facebook.com/content/insights/?content_id=UzpfSTEwMDA1NzM3OTg4MTE2MjoxMDMxNDM4ODA1NDQ1NDM5OjEwMzE0Mzg4MDU0NDU0Mzk%3D&amp;entry_point=ProdashCometContentLibraryTable</x:v>
      </x:c>
      <x:c r="D87" s="85" t="str">
        <x:v>Delete candidate — no exact Airtable year/make/model match</x:v>
      </x:c>
    </x:row>
    <x:row r="88" ht="48" customHeight="1">
      <x:c r="A88" s="81" t="n">
        <x:v>45591</x:v>
      </x:c>
      <x:c r="B88" s="82" t="str">
        <x:v>JEEP RENEGEDE SPORT AÑO 2022 4K MILLAS, LLAVE INTELIGENTE OPCIONES DE FINANCIAMIENTOS 📲787-223-4800 TU DEALER DE CONFIANZA, VISÍTANOS, ENCONTRARÁS PRECIOS QUE SE AJUSTAN A TU PRESUPUESTO.</x:v>
      </x:c>
      <x:c r="C88" s="77" t="str">
        <x:v>https://www.facebook.com/content/insights/?content_id=UzpfSTEwMDA1NzM3OTg4MTE2MjoxMDMwMTkyMTg4OTAzNDM0OjEwMzAxOTIxODg5MDM0MzQ%3D&amp;entry_point=ProdashCometContentLibraryTable</x:v>
      </x:c>
      <x:c r="D88" s="85" t="str">
        <x:v>Delete candidate — no exact Airtable year/make/model match</x:v>
      </x:c>
    </x:row>
    <x:row r="89" ht="48" customHeight="1">
      <x:c r="A89" s="81" t="n">
        <x:v>45582</x:v>
      </x:c>
      <x:c r="B89" s="82" t="str">
        <x:v>UNIDAD EN ÓPTIMAS CONDICIONES TOYOTA COROLLA TIPO S AÑO 2015 CON TAN SOLO 54K MILLAS GARANTÍA 📲787-233-4800 VISÍTANOS Y SALDRÁS MONTADO 🚗</x:v>
      </x:c>
      <x:c r="C89" s="77" t="str">
        <x:v>https://www.facebook.com/content/insights/?content_id=UzpfSTEwMDA1NzM3OTg4MTE2MjoxMDIzNjk1NTA5NTUzMTAyOjEwMjM2OTU1MDk1NTMxMDI%3D&amp;entry_point=ProdashCometContentLibraryTable</x:v>
      </x:c>
      <x:c r="D89" s="85" t="str">
        <x:v>Delete candidate — no exact Airtable year/make/model match</x:v>
      </x:c>
    </x:row>
    <x:row r="90" ht="48" customHeight="1">
      <x:c r="A90" s="81" t="n">
        <x:v>45577</x:v>
      </x:c>
      <x:c r="B90" s="82" t="str">
        <x:v>TOYOTA RAV4 XLE PREMIUM PACKAGE AÑO 2021, SUNROOF, LLAVE INTELIGENTE, ASIENTOS EN LEATHER Millaje 34K MILLAS 📲787-233-4800 FINANCIAMIENTO DISPONIBLE</x:v>
      </x:c>
      <x:c r="C90" s="77" t="str">
        <x:v>https://www.facebook.com/content/insights/?content_id=UzpfSTEwMDA1NzM3OTg4MTE2MjoxMDIwMDEzMjk5OTIxMzIzOjEwMjAwMTMyOTk5MjEzMjM%3D&amp;entry_point=ProdashCometContentLibraryTable</x:v>
      </x:c>
      <x:c r="D90" s="85" t="str">
        <x:v>Delete candidate — no exact Airtable year/make/model match</x:v>
      </x:c>
    </x:row>
    <x:row r="91" ht="48" customHeight="1">
      <x:c r="A91" s="81" t="n">
        <x:v>45577</x:v>
      </x:c>
      <x:c r="B91" s="82" t="str">
        <x:v>TOYOTA CAMRY LE, AÑO 2015 Millaje 72K MILLAS, ÓPTIMAS CONDICIONES 📲787-233-4800 VISÍTANOS Y SALDRÁS MONTADO, PRECIOS SUPER ACCESIBLE.</x:v>
      </x:c>
      <x:c r="C91" s="77" t="str">
        <x:v>https://www.facebook.com/content/insights/?content_id=UzpfSTEwMDA1NzM3OTg4MTE2MjoxMDE5OTc5OTE2NTkxMzI4OjEwMTk5Nzk5MTY1OTEzMjg%3D&amp;entry_point=ProdashCometContentLibraryTable</x:v>
      </x:c>
      <x:c r="D91" s="85" t="str">
        <x:v>Delete candidate — no exact Airtable year/make/model match</x:v>
      </x:c>
    </x:row>
    <x:row r="92" ht="48" customHeight="1">
      <x:c r="A92" s="81" t="n">
        <x:v>45577</x:v>
      </x:c>
      <x:c r="B92" s="82" t="str">
        <x:v>HYUNDAI ELANTRA AÑO 2020 Millaje 41K Precio $14,995 FINANCIAMIENTO DISPONIBLE 📲787-233-4800</x:v>
      </x:c>
      <x:c r="C92" s="77" t="str">
        <x:v>https://www.facebook.com/content/insights/?content_id=UzpfSTEwMDA1NzM3OTg4MTE2MjoxMDE5OTU2OTI2NTkzNjI3OjEwMTk5NTY5MjY1OTM2Mjc%3D&amp;entry_point=ProdashCometContentLibraryTable</x:v>
      </x:c>
      <x:c r="D92" s="85" t="str">
        <x:v>Delete candidate — no exact Airtable year/make/model match</x:v>
      </x:c>
    </x:row>
    <x:row r="93" ht="48" customHeight="1">
      <x:c r="A93" s="81" t="n">
        <x:v>45573</x:v>
      </x:c>
      <x:c r="B93" s="82" t="str">
        <x:v>🚨SE VA A PRECIO DE LIQUIDACIÓN 🚨 HYUNDAI TUCSON AÑO 2020 MILLAGE 50K FINANCIAMIENTO DISPONIBLE 📲787-233-4800 $16,995</x:v>
      </x:c>
      <x:c r="C93" s="77" t="str">
        <x:v>https://www.facebook.com/content/insights/?content_id=UzpfSTEwMDA1NzM3OTg4MTE2MjoxMDE2ODQwODY2OTA1MjMzOjEwMTY4NDA4NjY5MDUyMzM%3D&amp;entry_point=ProdashCometContentLibraryTable</x:v>
      </x:c>
      <x:c r="D93" s="85" t="str">
        <x:v>Delete candidate — no exact Airtable year/make/model match</x:v>
      </x:c>
    </x:row>
    <x:row r="94" ht="48" customHeight="1">
      <x:c r="A94" s="81" t="n">
        <x:v>45570</x:v>
      </x:c>
      <x:c r="B94" s="82" t="str">
        <x:v>NISSAN VERSA SR, AÑO 2020, 42K MILLAS 📲787-233-4800 FINANCIAMIENTO DISPONIBLE VISÍTANOS Y SALDRÁS MONTADO CON SU AUTO SOÑANDO🚗</x:v>
      </x:c>
      <x:c r="C94" s="77" t="str">
        <x:v>https://www.facebook.com/content/insights/?content_id=UzpfSTEwMDA1NzM3OTg4MTE2MjoxMDE0NjQyOTgzNzkxNjg4OjEwMTQ2NDI5ODM3OTE2ODg%3D&amp;entry_point=ProdashCometContentLibraryTable</x:v>
      </x:c>
      <x:c r="D94" s="85" t="str">
        <x:v>Delete candidate — no exact Airtable year/make/model match</x:v>
      </x:c>
    </x:row>
    <x:row r="95" ht="48" customHeight="1">
      <x:c r="A95" s="81" t="n">
        <x:v>45570</x:v>
      </x:c>
      <x:c r="B95" s="82" t="str">
        <x:v>HYUNDAI KONA, AÑO 2022 11K MILLAS, COMO NUEVO, 📲787-233-4800 FINANCIAMIENTO DISPONIBLE $19,995</x:v>
      </x:c>
      <x:c r="C95" s="77" t="str">
        <x:v>https://www.facebook.com/content/insights/?content_id=UzpfSTEwMDA1NzM3OTg4MTE2MjoxMDE0NjI0Mzc3MTI2ODgyOjEwMTQ2MjQzNzcxMjY4ODI%3D&amp;entry_point=ProdashCometContentLibraryTable</x:v>
      </x:c>
      <x:c r="D95" s="85" t="str">
        <x:v>Delete candidate — no exact Airtable year/make/model match</x:v>
      </x:c>
    </x:row>
    <x:row r="96" ht="48" customHeight="1">
      <x:c r="A96" s="81" t="n">
        <x:v>45527</x:v>
      </x:c>
      <x:c r="B96" s="82" t="str">
        <x:v>🏁NISSAN ROUGE MIDNIGHT AÑO 2023 Millaje: 5K 📲787-233-4800 Visítanos y saldrás montado 🚗 Financiamiento Disponible 🏦</x:v>
      </x:c>
      <x:c r="C96" s="77" t="str">
        <x:v>https://www.facebook.com/content/insights/?content_id=UzpfSTEwMDA1NzM3OTg4MTE2Mjo5ODUxNDkxMDM0MDc3NDM6OTg1MTQ5MTAzNDA3NzQz&amp;entry_point=ProdashCometContentLibraryTable</x:v>
      </x:c>
      <x:c r="D96" s="85" t="str">
        <x:v>Delete candidate — no exact Airtable year/make/model match</x:v>
      </x:c>
    </x:row>
    <x:row r="97" ht="48" customHeight="1">
      <x:c r="A97" s="81" t="n">
        <x:v>45521</x:v>
      </x:c>
      <x:c r="B97" s="82" t="str">
        <x:v>JEEP WRANGLER 4*4/3K/LLAVE INTELIGENTE Año 2023 $37,995 📲787-233-4800</x:v>
      </x:c>
      <x:c r="C97" s="77" t="str">
        <x:v>https://www.facebook.com/content/insights/?content_id=UzpfSTEwMDA1NzM3OTg4MTE2Mjo5ODExMjMyNTA0NzY5OTU6OTgxMTIzMjUwNDc2OTk1&amp;entry_point=ProdashCometContentLibraryTable</x:v>
      </x:c>
      <x:c r="D97" s="85" t="str">
        <x:v>Delete candidate — no exact Airtable year/make/model match</x:v>
      </x:c>
    </x:row>
    <x:row r="98" ht="48" customHeight="1">
      <x:c r="A98" s="81" t="n">
        <x:v>45483</x:v>
      </x:c>
      <x:c r="B98" s="82" t="str">
        <x:v>Toyota Cross LE, año 2023, 5K millas aprox, Como Nuevo. 📲787-233-4800. $24,995</x:v>
      </x:c>
      <x:c r="C98" s="77" t="str">
        <x:v>https://www.facebook.com/content/insights/?content_id=UzpfSTEwMDA1NzM3OTg4MTE2Mjo5NTc4NjA1NzYxMzY1OTY6OTU3ODYwNTc2MTM2NTk2&amp;entry_point=ProdashCometContentLibraryTable</x:v>
      </x:c>
      <x:c r="D98" s="85" t="str">
        <x:v>Delete candidate — no exact Airtable year/make/model match</x:v>
      </x:c>
    </x:row>
    <x:row r="99" ht="48" customHeight="1">
      <x:c r="A99" s="81" t="n">
        <x:v>45324</x:v>
      </x:c>
      <x:c r="B99" s="82" t="str">
        <x:v>¿Estás buscando una Kia Sportage? •Unidad en óptimas condiciones •año 2022 •cualifica para financiamiento Visítanos y saldarás montado, inf.📲797-233-4800</x:v>
      </x:c>
      <x:c r="C99" s="77" t="str">
        <x:v>https://www.facebook.com/content/insights/?content_id=UzpfSTEwMDA1NzM3OTg4MTE2Mjo4NjQ1Nzc2NjU0NjQ4ODg6ODY0NTc3NjY1NDY0ODg4&amp;entry_point=ProdashCometContentLibraryTable</x:v>
      </x:c>
      <x:c r="D99" s="85" t="str">
        <x:v>Delete candidate — no exact Airtable year/make/model match</x:v>
      </x:c>
    </x:row>
    <x:row r="100" ht="48" customHeight="1">
      <x:c r="A100" s="81" t="n">
        <x:v>45319</x:v>
      </x:c>
      <x:c r="B100" s="82" t="str">
        <x:v>🏁Unidad Acabada de Recibir🏁 Nissan Frontier SL, 2018, 4*4, excelentes condiciones, 📲787-233-4800 para más información Precio 26,995</x:v>
      </x:c>
      <x:c r="C100" s="77" t="str">
        <x:v>https://www.facebook.com/content/insights/?content_id=UzpfSTEwMDA1NzM3OTg4MTE2Mjo4NjE2MjE2NDkwOTM4MjM6ODYxNjIxNjQ5MDkzODIz&amp;entry_point=ProdashCometContentLibraryTable</x:v>
      </x:c>
      <x:c r="D100" s="85" t="str">
        <x:v>Delete candidate — no exact Airtable year/make/model match</x:v>
      </x:c>
    </x:row>
    <x:row r="101" ht="48" customHeight="1">
      <x:c r="A101" s="81" t="n">
        <x:v>45318</x:v>
      </x:c>
      <x:c r="B101" s="82" t="str">
        <x:v>Ford Ranger, año 2011, excelentes condiciones! Precio 10,995</x:v>
      </x:c>
      <x:c r="C101" s="77" t="str">
        <x:v>https://www.facebook.com/content/insights/?content_id=UzpfSTEwMDA1NzM3OTg4MTE2Mjo4NjA5NzM1MTU4MjUzMDM6ODYwOTczNTE1ODI1MzAz&amp;entry_point=ProdashCometContentLibraryTable</x:v>
      </x:c>
      <x:c r="D101" s="85" t="str">
        <x:v>Delete candidate — no exact Airtable year/make/model match</x:v>
      </x:c>
    </x:row>
    <x:row r="102" ht="48" customHeight="1">
      <x:c r="A102" s="81" t="n">
        <x:v>45307</x:v>
      </x:c>
      <x:c r="B102" s="82" t="str">
        <x:v>Ford F-250, año 2015, Diesel e Importado Cualifica para financiamiento, para más información 📲787-233-4800 Precio: $40,995</x:v>
      </x:c>
      <x:c r="C102" s="77" t="str">
        <x:v>https://www.facebook.com/content/insights/?content_id=UzpfSTEwMDA1NzM3OTg4MTE2Mjo4NTQxOTcxMDY1MDI5NDQ6ODU0MTk3MTA2NTAyOTQ0&amp;entry_point=ProdashCometContentLibraryTable</x:v>
      </x:c>
      <x:c r="D102" s="85" t="str">
        <x:v>Delete candidate — no exact Airtable year/make/model match</x:v>
      </x:c>
    </x:row>
    <x:row r="103" ht="48" customHeight="1">
      <x:c r="A103" s="81" t="n">
        <x:v>45185</x:v>
      </x:c>
      <x:c r="B103" s="82" t="str">
        <x:v>❌Unidad acabado de recibir❌ Mini Cooper 2015 Standard Para más información se puede comunicar al (787)233-4800 ò (787) 868-4840.</x:v>
      </x:c>
      <x:c r="C103" s="77" t="str">
        <x:v>https://www.facebook.com/content/insights/?content_id=UzpfSTEwMDA1NzM3OTg4MTE2Mjo3ODc3NjM0MTk4MTI5ODA6Nzg3NzYzNDE5ODEyOTgw&amp;entry_point=ProdashCometContentLibraryTable</x:v>
      </x:c>
      <x:c r="D103" s="85" t="str">
        <x:v>Delete candidate — no exact Airtable year/make/model match</x:v>
      </x:c>
    </x:row>
    <x:row r="104" ht="48" customHeight="1">
      <x:c r="A104" s="81" t="n">
        <x:v>45128</x:v>
      </x:c>
      <x:c r="B104" s="82" t="str">
        <x:v>Nissan Sentra 2013 en excelentes condiciones.Solo 111,000 millas.Automatico Aire Acondicionado Full power.Corriendo al de todo bien.Especial $7995!Llama o textea 787-233-4800.</x:v>
      </x:c>
      <x:c r="C104" s="77" t="str">
        <x:v>https://www.facebook.com/content/insights/?content_id=UzpfSTEwMDA1NzM3OTg4MTE2Mjo3NTg0MTc1NjYwODA4OTk6NzU4NDE3NTY2MDgwODk5&amp;entry_point=ProdashCometContentLibraryTable</x:v>
      </x:c>
      <x:c r="D104" s="85" t="str">
        <x:v>Delete candidate — no exact Airtable year/make/model match</x:v>
      </x:c>
    </x:row>
    <x:row r="105" ht="48" customHeight="1">
      <x:c r="A105" s="81" t="n">
        <x:v>45080</x:v>
      </x:c>
      <x:c r="B105" s="82" t="str">
        <x:v>Jeep Patriot 2008 en buenas condiciones.$6995.00.Llama o textea.Tel.787-868-4840 Cel.787-233-4800. Giovanni Feliciano</x:v>
      </x:c>
      <x:c r="C105" s="77" t="str">
        <x:v>https://www.facebook.com/content/insights/?content_id=UzpfSTcwMjQ4MTkwMzE5Nzc1NTo2MTk1MTMzMzU3MjY1ODg4OjYxOTUxMzMzNTcyNjU4ODg%3D&amp;entry_point=ProdashCometContentLibraryTable</x:v>
      </x:c>
      <x:c r="D105" s="85" t="str">
        <x:v>Delete candidate — no exact Airtable year/make/model match</x:v>
      </x:c>
    </x:row>
    <x:row r="106" ht="48" customHeight="1">
      <x:c r="A106" s="81" t="n">
        <x:v>45080</x:v>
      </x:c>
      <x:c r="B106" s="82" t="str">
        <x:v>Ford F150 2013 FX4 Importada 4x4 en excelentes condiciones.Para más información llama o textea Tel. 787-868-4840.Cel 787-233-4800 Giovanni Feliciano.</x:v>
      </x:c>
      <x:c r="C106" s="77" t="str">
        <x:v>https://www.facebook.com/content/insights/?content_id=UzpfSTcwMjQ4MTkwMzE5Nzc1NTo2MTk1MTIwNjYwNjAwNDkxOjYxOTUxMjA2NjA2MDA0OTE%3D&amp;entry_point=ProdashCometContentLibraryTable</x:v>
      </x:c>
      <x:c r="D106" s="85" t="str">
        <x:v>Delete candidate — no exact Airtable year/make/model match</x:v>
      </x:c>
    </x:row>
    <x:row r="107" ht="48" customHeight="1">
      <x:c r="A107" s="81" t="n">
        <x:v>45080</x:v>
      </x:c>
      <x:c r="B107" s="82" t="str">
        <x:v>Ford F150 FX4 2013 Importada 4x4 motor 5.0lt Collote en excelentes condiciones.Para más información llama o textea.Dealer 787-868-4840.Celular 787-233-4800.Giovanni Feliciano</x:v>
      </x:c>
      <x:c r="C107" s="77" t="str">
        <x:v>https://www.facebook.com/content/insights/?content_id=UzpfSTcwMjQ4MTkwMzE5Nzc1NTo2MTk1MDc2NDc3MjcxNTc2OjYxOTUwNzY0NzcyNzE1NzY%3D&amp;entry_point=ProdashCometContentLibraryTable</x:v>
      </x:c>
      <x:c r="D107" s="85" t="str">
        <x:v>Delete candidate — no exact Airtable year/make/model match</x:v>
      </x:c>
    </x:row>
    <x:row r="108" ht="48" customHeight="1">
      <x:c r="A108" s="81" t="n">
        <x:v>45045</x:v>
      </x:c>
      <x:c r="B108" s="82" t="str">
        <x:v>Jeep Grand Cherokee Overland 2014 Importada Tel.787-868-4840 Cel.787-233-4800.Llamadas,Texto o WhatsApp.</x:v>
      </x:c>
      <x:c r="C108" s="77" t="str">
        <x:v>https://www.facebook.com/content/insights/?content_id=UzpfSTcwMjQ4MTkwMzE5Nzc1NTo2MDc3MTM4NDAyMzk4NzE4OjYwNzcxMzg0MDIzOTg3MTg%3D&amp;entry_point=ProdashCometContentLibraryTable</x:v>
      </x:c>
      <x:c r="D108" s="85" t="str">
        <x:v>Delete candidate — no exact Airtable year/make/model match</x:v>
      </x:c>
    </x:row>
  </x:sheetData>
  <x:pageMargins left="0.7" right="0.7" top="0.75" bottom="0.75" header="0.3" footer="0.3"/>
  <x:tableParts count="1">
    <x:tablePart xmlns:r="http://schemas.openxmlformats.org/officeDocument/2006/relationships" r:id="Ra6a26bc4b14d4222"/>
  </x:tableParts>
</x:worksheet>
</file>